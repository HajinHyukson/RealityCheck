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8a85db02f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cb4cad922d0f469e"/>
    <x:sheet xmlns:r="http://schemas.openxmlformats.org/officeDocument/2006/relationships" name="Opening Position" sheetId="2" r:id="R74cc4468158144c4"/>
    <x:sheet xmlns:r="http://schemas.openxmlformats.org/officeDocument/2006/relationships" name="Operating Forecast" sheetId="3" r:id="R5327382ca8a440e7"/>
    <x:sheet xmlns:r="http://schemas.openxmlformats.org/officeDocument/2006/relationships" name="Cash and Balance Sheet" sheetId="4" r:id="R376f6a00885f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00;(#,##0.0000);&quot;-&quot;"/>
    <x:numFmt numFmtId="201" formatCode="0.00%;(0.00%);&quot;-&quot;"/>
    <x:numFmt numFmtId="202" formatCode="0.00&quot;x&quot;"/>
    <x:numFmt numFmtId="203" formatCode="#,##0;(#,##0);&quot;-&quot;"/>
    <x:numFmt numFmtId="204" formatCode="0.00"/>
    <x:numFmt numFmtId="205" formatCode="0.0"/>
    <x:numFmt numFmtId="206" formatCode="mmm yyyy"/>
    <x:numFmt numFmtId="207" formatCode="0.0000&quot;x&quot;"/>
  </x:numFmts>
  <x:fonts count="9">
    <x:font>
      <x:sz val="11"/>
      <x:name val="Carlito"/>
    </x:font>
    <x:font>
      <x:sz val="10"/>
      <x:color rgb="FF172B3A"/>
      <x:name val="Arial"/>
    </x:font>
    <x:font>
      <x:b/>
      <x:sz val="19"/>
      <x:color rgb="FF14233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4A"/>
      <x:name val="Arial"/>
    </x:font>
    <x:font>
      <x:b/>
      <x:sz val="10"/>
      <x:color rgb="FF172B3A"/>
      <x:name val="Arial"/>
    </x:font>
    <x:font>
      <x:b/>
      <x:sz val="10"/>
      <x:color rgb="FF0080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A50"/>
      </x:patternFill>
    </x:fill>
    <x:fill>
      <x:patternFill patternType="solid">
        <x:fgColor rgb="FFEEF5FB"/>
      </x:patternFill>
    </x:fill>
    <x:fill>
      <x:patternFill patternType="solid">
        <x:fgColor rgb="FFE8F0F2"/>
      </x:patternFill>
    </x:fill>
  </x:fills>
  <x:borders count="2">
    <x:border/>
    <x:border>
      <x:top style="thin">
        <x:color rgb="FF94A9B4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4" fontId="5" fillId="3" borderId="0" xfId="0" applyNumberFormat="1" applyFont="1" applyFill="1" applyBorder="1"/>
    <x:xf numFmtId="205" fontId="5" fillId="3" borderId="0" xfId="0" applyNumberFormat="1" applyFont="1" applyFill="1" applyBorder="1"/>
    <x:xf numFmtId="206" fontId="1" fillId="0" borderId="0" xfId="0" applyNumberFormat="1" applyFont="1" applyFill="1" applyBorder="1"/>
    <x:xf numFmtId="200" fontId="6" fillId="0" borderId="0" xfId="0" applyNumberFormat="1" applyFont="1" applyFill="1" applyBorder="1"/>
    <x:xf numFmtId="207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4" borderId="1" xfId="0" applyNumberFormat="1" applyFont="1" applyFill="1" applyBorder="1"/>
    <x:xf numFmtId="200" fontId="6" fillId="4" borderId="0" xfId="0" applyNumberFormat="1" applyFont="1" applyFill="1" applyBorder="1"/>
    <x:xf numFmtId="200" fontId="8" fillId="4" borderId="0" xfId="0" applyNumberFormat="1" applyFont="1" applyFill="1" applyBorder="1"/>
    <x:xf numFmtId="200" fontId="8" fillId="4" borderId="1" xfId="0" applyNumberFormat="1" applyFont="1" applyFill="1" applyBorder="1"/>
    <x:xf numFmtId="203" fontId="6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205" fontId="6" fillId="0" borderId="0" xfId="0" applyNumberFormat="1" applyFont="1" applyFill="1" applyBorder="1"/>
    <x:xf numFmtId="203" fontId="1" fillId="4" borderId="0" xfId="0" applyNumberFormat="1" applyFont="1" applyFill="1" applyBorder="1"/>
    <x:xf numFmtId="203" fontId="7" fillId="4" borderId="0" xfId="0" applyNumberFormat="1" applyFont="1" applyFill="1" applyBorder="1"/>
    <x:xf numFmtId="203" fontId="7" fillId="4" borderId="1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19e721ce7492e" /><Relationship Type="http://schemas.openxmlformats.org/officeDocument/2006/relationships/theme" Target="/xl/theme/theme1.xml" Id="R4663a39468444cef" /><Relationship Type="http://schemas.openxmlformats.org/officeDocument/2006/relationships/sharedStrings" Target="/xl/sharedStrings.xml" Id="R9076c783633a42e2" /><Relationship Type="http://schemas.openxmlformats.org/officeDocument/2006/relationships/worksheet" Target="/xl/worksheets/sheet1.xml" Id="Rcb4cad922d0f469e" /><Relationship Type="http://schemas.openxmlformats.org/officeDocument/2006/relationships/worksheet" Target="/xl/worksheets/sheet2.xml" Id="R74cc4468158144c4" /><Relationship Type="http://schemas.openxmlformats.org/officeDocument/2006/relationships/worksheet" Target="/xl/worksheets/sheet3.xml" Id="R5327382ca8a440e7" /><Relationship Type="http://schemas.openxmlformats.org/officeDocument/2006/relationships/worksheet" Target="/xl/worksheets/sheet4.xml" Id="R376f6a00885f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3" customHeight="1">
      <x:c r="A2" s="1"/>
      <x:c r="B2" s="1"/>
      <x:c r="C2" s="3" t="str">
        <x:v>04 | Drivers</x:v>
      </x:c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 t="str">
        <x:v>SYNTHETIC DEMO | DUO-MODEL-2026-10-01 | Available October 1, 2026</x:v>
      </x:c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 t="str">
        <x:v>Invented borrower and financials; no affiliation with Duolingo Inc is asserted.</x:v>
      </x:c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 t="str">
        <x:v>USD millions unless stated. Blue = inputs; green = sheet links; dark = formulas.</x:v>
      </x:c>
      <x:c r="D6" s="1"/>
      <x:c r="E6" s="1"/>
      <x:c r="F6" s="1"/>
      <x:c r="G6" s="1"/>
      <x:c r="H6" s="1"/>
      <x:c r="I6" s="1"/>
      <x:c r="J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FACILITY AND OPENING ASSUMPTIONS</x:v>
      </x:c>
      <x:c r="D8" s="9"/>
      <x:c r="E8" s="9"/>
      <x:c r="F8" s="9"/>
      <x:c r="G8" s="9"/>
      <x:c r="H8" s="9"/>
      <x:c r="I8" s="9"/>
      <x:c r="J8" s="1"/>
    </x:row>
    <x:row r="9" ht="24" customHeight="1">
      <x:c r="A9" s="1"/>
      <x:c r="B9" s="1"/>
      <x:c r="C9" s="1" t="str">
        <x:v>Debt principal</x:v>
      </x:c>
      <x:c r="D9" s="11" t="n">
        <x:v>60</x:v>
      </x:c>
      <x:c r="E9" s="2"/>
      <x:c r="F9" s="2"/>
      <x:c r="G9" s="2"/>
      <x:c r="H9" s="2"/>
      <x:c r="I9" s="2"/>
      <x:c r="J9" s="1"/>
    </x:row>
    <x:row r="10" ht="24" customHeight="1">
      <x:c r="A10" s="1"/>
      <x:c r="B10" s="1"/>
      <x:c r="C10" s="1" t="str">
        <x:v>Fixed annual interest rate</x:v>
      </x:c>
      <x:c r="D10" s="12" t="n">
        <x:v>0.09</x:v>
      </x:c>
      <x:c r="E10" s="2"/>
      <x:c r="F10" s="2"/>
      <x:c r="G10" s="2"/>
      <x:c r="H10" s="2"/>
      <x:c r="I10" s="2"/>
      <x:c r="J10" s="1"/>
    </x:row>
    <x:row r="11" ht="24" customHeight="1">
      <x:c r="A11" s="1"/>
      <x:c r="B11" s="1"/>
      <x:c r="C11" s="1" t="str">
        <x:v>Actual month-end cash floor</x:v>
      </x:c>
      <x:c r="D11" s="11" t="n">
        <x:v>25</x:v>
      </x:c>
      <x:c r="E11" s="2"/>
      <x:c r="F11" s="2"/>
      <x:c r="G11" s="2"/>
      <x:c r="H11" s="2"/>
      <x:c r="I11" s="2"/>
      <x:c r="J11" s="1"/>
    </x:row>
    <x:row r="12" ht="24" customHeight="1">
      <x:c r="A12" s="1"/>
      <x:c r="B12" s="1"/>
      <x:c r="C12" s="1" t="str">
        <x:v>13-week forecast reporting trigger</x:v>
      </x:c>
      <x:c r="D12" s="11" t="n">
        <x:v>32</x:v>
      </x:c>
      <x:c r="E12" s="2"/>
      <x:c r="F12" s="2"/>
      <x:c r="G12" s="2"/>
      <x:c r="H12" s="2"/>
      <x:c r="I12" s="2"/>
      <x:c r="J12" s="1"/>
    </x:row>
    <x:row r="13" ht="24" customHeight="1">
      <x:c r="A13" s="1"/>
      <x:c r="B13" s="1"/>
      <x:c r="C13" s="1" t="str">
        <x:v>Maximum quarter-end Net Leverage</x:v>
      </x:c>
      <x:c r="D13" s="13" t="n">
        <x:v>2.5</x:v>
      </x:c>
      <x:c r="E13" s="2"/>
      <x:c r="F13" s="2"/>
      <x:c r="G13" s="2"/>
      <x:c r="H13" s="2"/>
      <x:c r="I13" s="2"/>
      <x:c r="J13" s="1"/>
    </x:row>
    <x:row r="14" ht="24" customHeight="1">
      <x:c r="A14" s="1"/>
      <x:c r="B14" s="1"/>
      <x:c r="C14" s="1" t="str">
        <x:v>Opening total bank cash</x:v>
      </x:c>
      <x:c r="D14" s="11" t="n">
        <x:v>42</x:v>
      </x:c>
      <x:c r="E14" s="2"/>
      <x:c r="F14" s="2"/>
      <x:c r="G14" s="2"/>
      <x:c r="H14" s="2"/>
      <x:c r="I14" s="2"/>
      <x:c r="J14" s="1"/>
    </x:row>
    <x:row r="15" ht="24" customHeight="1">
      <x:c r="A15" s="1"/>
      <x:c r="B15" s="1"/>
      <x:c r="C15" s="1" t="str">
        <x:v>Restricted cash</x:v>
      </x:c>
      <x:c r="D15" s="11" t="n">
        <x:v>4</x:v>
      </x:c>
      <x:c r="E15" s="2"/>
      <x:c r="F15" s="2"/>
      <x:c r="G15" s="2"/>
      <x:c r="H15" s="2"/>
      <x:c r="I15" s="2"/>
      <x:c r="J15" s="1"/>
    </x:row>
    <x:row r="16" ht="24" customHeight="1">
      <x:c r="A16" s="1"/>
      <x:c r="B16" s="1"/>
      <x:c r="C16" s="1" t="str">
        <x:v>Processor settlement receivables</x:v>
      </x:c>
      <x:c r="D16" s="11" t="n">
        <x:v>6</x:v>
      </x:c>
      <x:c r="E16" s="2"/>
      <x:c r="F16" s="2"/>
      <x:c r="G16" s="2"/>
      <x:c r="H16" s="2"/>
      <x:c r="I16" s="2"/>
      <x:c r="J16" s="1"/>
    </x:row>
    <x:row r="17" ht="24" customHeight="1">
      <x:c r="A17" s="1"/>
      <x:c r="B17" s="1"/>
      <x:c r="C17" s="1" t="str">
        <x:v>Opening deferred processing costs</x:v>
      </x:c>
      <x:c r="D17" s="11" t="n">
        <x:v>15.12</x:v>
      </x:c>
      <x:c r="E17" s="2"/>
      <x:c r="F17" s="2"/>
      <x:c r="G17" s="2"/>
      <x:c r="H17" s="2"/>
      <x:c r="I17" s="2"/>
      <x:c r="J17" s="1"/>
    </x:row>
    <x:row r="18" ht="24" customHeight="1">
      <x:c r="A18" s="1"/>
      <x:c r="B18" s="1"/>
      <x:c r="C18" s="1" t="str">
        <x:v>Net fixed and acquired intangible assets</x:v>
      </x:c>
      <x:c r="D18" s="11" t="n">
        <x:v>100</x:v>
      </x:c>
      <x:c r="E18" s="2"/>
      <x:c r="F18" s="2"/>
      <x:c r="G18" s="2"/>
      <x:c r="H18" s="2"/>
      <x:c r="I18" s="2"/>
      <x:c r="J18" s="1"/>
    </x:row>
    <x:row r="19" ht="24" customHeight="1">
      <x:c r="A19" s="1"/>
      <x:c r="B19" s="1"/>
      <x:c r="C19" s="1" t="str">
        <x:v>Payables and operating accruals</x:v>
      </x:c>
      <x:c r="D19" s="11" t="n">
        <x:v>7</x:v>
      </x:c>
      <x:c r="E19" s="2"/>
      <x:c r="F19" s="2"/>
      <x:c r="G19" s="2"/>
      <x:c r="H19" s="2"/>
      <x:c r="I19" s="2"/>
      <x:c r="J19" s="1"/>
    </x:row>
    <x:row r="20" ht="24" customHeight="1">
      <x:c r="A20" s="1"/>
      <x:c r="B20" s="1"/>
      <x:c r="C20" s="1" t="str">
        <x:v>Opening deferred subscription revenue</x:v>
      </x:c>
      <x:c r="D20" s="11" t="n">
        <x:v>75.6</x:v>
      </x:c>
      <x:c r="E20" s="2"/>
      <x:c r="F20" s="2"/>
      <x:c r="G20" s="2"/>
      <x:c r="H20" s="2"/>
      <x:c r="I20" s="2"/>
      <x:c r="J20" s="1"/>
    </x:row>
    <x:row r="21" ht="24" customHeight="1">
      <x:c r="A21" s="1"/>
      <x:c r="B21" s="1"/>
      <x:c r="C21" s="1" t="str">
        <x:v>Opening equity</x:v>
      </x:c>
      <x:c r="D21" s="11" t="n">
        <x:v>20.52</x:v>
      </x:c>
      <x:c r="E21" s="2"/>
      <x:c r="F21" s="2"/>
      <x:c r="G21" s="2"/>
      <x:c r="H21" s="2"/>
      <x:c r="I21" s="2"/>
      <x:c r="J21" s="1"/>
    </x:row>
    <x:row r="22" ht="24" customHeight="1">
      <x:c r="A22" s="1"/>
      <x:c r="B22" s="1"/>
      <x:c r="C22" s="1" t="str">
        <x:v>Opening paid annual accounts</x:v>
      </x:c>
      <x:c r="D22" s="14" t="n">
        <x:v>840000</x:v>
      </x:c>
      <x:c r="E22" s="2"/>
      <x:c r="F22" s="2"/>
      <x:c r="G22" s="2"/>
      <x:c r="H22" s="2"/>
      <x:c r="I22" s="2"/>
      <x:c r="J22" s="1"/>
    </x:row>
    <x:row r="23" ht="24" customHeight="1">
      <x:c r="A23" s="1"/>
      <x:c r="B23" s="1"/>
      <x:c r="C23" s="1" t="str">
        <x:v>Annual subscription price in USD</x:v>
      </x:c>
      <x:c r="D23" s="15" t="n">
        <x:v>180</x:v>
      </x:c>
      <x:c r="E23" s="2"/>
      <x:c r="F23" s="2"/>
      <x:c r="G23" s="2"/>
      <x:c r="H23" s="2"/>
      <x:c r="I23" s="2"/>
      <x:c r="J23" s="1"/>
    </x:row>
    <x:row r="24" ht="24" customHeight="1">
      <x:c r="A24" s="1"/>
      <x:c r="B24" s="1"/>
      <x:c r="C24" s="1" t="str">
        <x:v>Assumed remaining prepaid service months</x:v>
      </x:c>
      <x:c r="D24" s="16" t="n">
        <x:v>6</x:v>
      </x:c>
      <x:c r="E24" s="2"/>
      <x:c r="F24" s="2"/>
      <x:c r="G24" s="2"/>
      <x:c r="H24" s="2"/>
      <x:c r="I24" s="2"/>
      <x:c r="J24" s="1"/>
    </x:row>
    <x:row r="25" ht="24" customHeight="1">
      <x:c r="A25" s="1"/>
      <x:c r="B25" s="1"/>
      <x:c r="C25" s="1" t="str">
        <x:v>Trial conversion notice threshold</x:v>
      </x:c>
      <x:c r="D25" s="12" t="n">
        <x:v>0.06</x:v>
      </x:c>
      <x:c r="E25" s="2"/>
      <x:c r="F25" s="2"/>
      <x:c r="G25" s="2"/>
      <x:c r="H25" s="2"/>
      <x:c r="I25" s="2"/>
      <x:c r="J25" s="1"/>
    </x:row>
    <x:row r="26" ht="24" customHeight="1">
      <x:c r="A26" s="1"/>
      <x:c r="B26" s="1"/>
      <x:c r="C26" s="1" t="str">
        <x:v>Renewal notice threshold</x:v>
      </x:c>
      <x:c r="D26" s="12" t="n">
        <x:v>0.88</x:v>
      </x:c>
      <x:c r="E26" s="2"/>
      <x:c r="F26" s="2"/>
      <x:c r="G26" s="2"/>
      <x:c r="H26" s="2"/>
      <x:c r="I26" s="2"/>
      <x:c r="J26" s="1"/>
    </x:row>
    <x:row r="27" ht="24" customHeight="1">
      <x:c r="A27" s="1"/>
      <x:c r="B27" s="1"/>
      <x:c r="C27" s="1" t="str">
        <x:v>Pre-funding total bank cash</x:v>
      </x:c>
      <x:c r="D27" s="11" t="n">
        <x:v>22</x:v>
      </x:c>
      <x:c r="E27" s="2"/>
      <x:c r="F27" s="2"/>
      <x:c r="G27" s="2"/>
      <x:c r="H27" s="2"/>
      <x:c r="I27" s="2"/>
      <x:c r="J27" s="1"/>
    </x:row>
    <x:row r="28" ht="24" customHeight="1">
      <x:c r="A28" s="1"/>
      <x:c r="B28" s="1"/>
      <x:c r="C28" s="1" t="str">
        <x:v>Prior debt refinanced</x:v>
      </x:c>
      <x:c r="D28" s="11" t="n">
        <x:v>40</x:v>
      </x:c>
      <x:c r="E28" s="2"/>
      <x:c r="F28" s="2"/>
      <x:c r="G28" s="2"/>
      <x:c r="H28" s="2"/>
      <x:c r="I28" s="2"/>
      <x:c r="J28" s="1"/>
    </x:row>
    <x:row r="29" ht="24" customHeight="1">
      <x:c r="A29" s="1"/>
      <x:c r="B29" s="1"/>
      <x:c r="C29" s="1" t="str">
        <x:v>Jan-Sep 2026 actual EBITDA subtotal</x:v>
      </x:c>
      <x:c r="D29" s="11" t="n">
        <x:v>27</x:v>
      </x:c>
      <x:c r="E29" s="2"/>
      <x:c r="F29" s="2"/>
      <x:c r="G29" s="2"/>
      <x:c r="H29" s="2"/>
      <x:c r="I29" s="2"/>
      <x:c r="J29" s="1"/>
    </x:row>
    <x:row r="30" ht="24" customHeight="1">
      <x:c r="A30" s="1"/>
      <x:c r="B30" s="1"/>
      <x:c r="C30" s="1" t="str">
        <x:v>Historical annual interest expense</x:v>
      </x:c>
      <x:c r="D30" s="11" t="n">
        <x:v>5.4</x:v>
      </x:c>
      <x:c r="E30" s="2"/>
      <x:c r="F30" s="2"/>
      <x:c r="G30" s="2"/>
      <x:c r="H30" s="2"/>
      <x:c r="I30" s="2"/>
      <x:c r="J30" s="1"/>
    </x:row>
    <x:row r="31" ht="24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1"/>
    </x:row>
    <x:row r="32" ht="27" customHeight="1">
      <x:c r="A32" s="1"/>
      <x:c r="B32" s="1"/>
      <x:c r="C32" s="8" t="str">
        <x:v>MONTHLY BASE CASE DRIVERS</x:v>
      </x:c>
      <x:c r="D32" s="9"/>
      <x:c r="E32" s="9"/>
      <x:c r="F32" s="9"/>
      <x:c r="G32" s="9"/>
      <x:c r="H32" s="9"/>
      <x:c r="I32" s="9"/>
      <x:c r="J32" s="1"/>
    </x:row>
    <x:row r="33" ht="24" customHeight="1">
      <x:c r="A33" s="1"/>
      <x:c r="B33" s="1"/>
      <x:c r="C33" s="1" t="str">
        <x:v>Month ending</x:v>
      </x:c>
      <x:c r="D33" s="17" t="n">
        <x:v>46326</x:v>
      </x:c>
      <x:c r="E33" s="17" t="n">
        <x:v>46356</x:v>
      </x:c>
      <x:c r="F33" s="17" t="n">
        <x:v>46387</x:v>
      </x:c>
      <x:c r="G33" s="17" t="n">
        <x:v>46418</x:v>
      </x:c>
      <x:c r="H33" s="17" t="n">
        <x:v>46446</x:v>
      </x:c>
      <x:c r="I33" s="17" t="n">
        <x:v>46477</x:v>
      </x:c>
      <x:c r="J33" s="1"/>
    </x:row>
    <x:row r="34" ht="24" customHeight="1">
      <x:c r="A34" s="1"/>
      <x:c r="B34" s="1"/>
      <x:c r="C34" s="1" t="str">
        <x:v>Monthly active users, millions</x:v>
      </x:c>
      <x:c r="D34" s="16" t="n">
        <x:v>8.4</x:v>
      </x:c>
      <x:c r="E34" s="16" t="n">
        <x:v>8.7</x:v>
      </x:c>
      <x:c r="F34" s="16" t="n">
        <x:v>9</x:v>
      </x:c>
      <x:c r="G34" s="16" t="n">
        <x:v>9.3</x:v>
      </x:c>
      <x:c r="H34" s="16" t="n">
        <x:v>9.6</x:v>
      </x:c>
      <x:c r="I34" s="16" t="n">
        <x:v>9.9</x:v>
      </x:c>
      <x:c r="J34" s="1"/>
    </x:row>
    <x:row r="35" ht="24" customHeight="1">
      <x:c r="A35" s="1"/>
      <x:c r="B35" s="1"/>
      <x:c r="C35" s="1" t="str">
        <x:v>Eligible completed trial accounts</x:v>
      </x:c>
      <x:c r="D35" s="14" t="n">
        <x:v>70000</x:v>
      </x:c>
      <x:c r="E35" s="14" t="n">
        <x:v>70000</x:v>
      </x:c>
      <x:c r="F35" s="14" t="n">
        <x:v>70000</x:v>
      </x:c>
      <x:c r="G35" s="14" t="n">
        <x:v>70000</x:v>
      </x:c>
      <x:c r="H35" s="14" t="n">
        <x:v>70000</x:v>
      </x:c>
      <x:c r="I35" s="14" t="n">
        <x:v>70000</x:v>
      </x:c>
      <x:c r="J35" s="1"/>
    </x:row>
    <x:row r="36" ht="24" customHeight="1">
      <x:c r="A36" s="1"/>
      <x:c r="B36" s="1"/>
      <x:c r="C36" s="1" t="str">
        <x:v>Finalized trial conversion</x:v>
      </x:c>
      <x:c r="D36" s="12" t="n">
        <x:v>0.08</x:v>
      </x:c>
      <x:c r="E36" s="12" t="n">
        <x:v>0.08</x:v>
      </x:c>
      <x:c r="F36" s="12" t="n">
        <x:v>0.08</x:v>
      </x:c>
      <x:c r="G36" s="12" t="n">
        <x:v>0.08</x:v>
      </x:c>
      <x:c r="H36" s="12" t="n">
        <x:v>0.08</x:v>
      </x:c>
      <x:c r="I36" s="12" t="n">
        <x:v>0.08</x:v>
      </x:c>
      <x:c r="J36" s="1"/>
    </x:row>
    <x:row r="37" ht="24" customHeight="1">
      <x:c r="A37" s="1"/>
      <x:c r="B37" s="1"/>
      <x:c r="C37" s="1" t="str">
        <x:v>Annual accounts due for renewal</x:v>
      </x:c>
      <x:c r="D37" s="14" t="n">
        <x:v>70000</x:v>
      </x:c>
      <x:c r="E37" s="14" t="n">
        <x:v>70000</x:v>
      </x:c>
      <x:c r="F37" s="14" t="n">
        <x:v>70000</x:v>
      </x:c>
      <x:c r="G37" s="14" t="n">
        <x:v>70000</x:v>
      </x:c>
      <x:c r="H37" s="14" t="n">
        <x:v>70000</x:v>
      </x:c>
      <x:c r="I37" s="14" t="n">
        <x:v>70000</x:v>
      </x:c>
      <x:c r="J37" s="1"/>
    </x:row>
    <x:row r="38" ht="24" customHeight="1">
      <x:c r="A38" s="1"/>
      <x:c r="B38" s="1"/>
      <x:c r="C38" s="1" t="str">
        <x:v>Annual renewal rate</x:v>
      </x:c>
      <x:c r="D38" s="12" t="n">
        <x:v>0.92</x:v>
      </x:c>
      <x:c r="E38" s="12" t="n">
        <x:v>0.92</x:v>
      </x:c>
      <x:c r="F38" s="12" t="n">
        <x:v>0.92</x:v>
      </x:c>
      <x:c r="G38" s="12" t="n">
        <x:v>0.92</x:v>
      </x:c>
      <x:c r="H38" s="12" t="n">
        <x:v>0.92</x:v>
      </x:c>
      <x:c r="I38" s="12" t="n">
        <x:v>0.92</x:v>
      </x:c>
      <x:c r="J38" s="1"/>
    </x:row>
    <x:row r="39" ht="24" customHeight="1">
      <x:c r="A39" s="1"/>
      <x:c r="B39" s="1"/>
      <x:c r="C39" s="1" t="str">
        <x:v>Other revenue and cash receipts</x:v>
      </x:c>
      <x:c r="D39" s="11" t="n">
        <x:v>3.15</x:v>
      </x:c>
      <x:c r="E39" s="11" t="n">
        <x:v>3.15</x:v>
      </x:c>
      <x:c r="F39" s="11" t="n">
        <x:v>3.15</x:v>
      </x:c>
      <x:c r="G39" s="11" t="n">
        <x:v>3.15</x:v>
      </x:c>
      <x:c r="H39" s="11" t="n">
        <x:v>3.15</x:v>
      </x:c>
      <x:c r="I39" s="11" t="n">
        <x:v>3.15</x:v>
      </x:c>
      <x:c r="J39" s="1"/>
    </x:row>
    <x:row r="40" ht="24" customHeight="1">
      <x:c r="A40" s="1"/>
      <x:c r="B40" s="1"/>
      <x:c r="C40" s="1" t="str">
        <x:v>Weighted subscription processing fee rate</x:v>
      </x:c>
      <x:c r="D40" s="12" t="n">
        <x:v>0.2</x:v>
      </x:c>
      <x:c r="E40" s="12" t="n">
        <x:v>0.2</x:v>
      </x:c>
      <x:c r="F40" s="12" t="n">
        <x:v>0.2</x:v>
      </x:c>
      <x:c r="G40" s="12" t="n">
        <x:v>0.2</x:v>
      </x:c>
      <x:c r="H40" s="12" t="n">
        <x:v>0.2</x:v>
      </x:c>
      <x:c r="I40" s="12" t="n">
        <x:v>0.2</x:v>
      </x:c>
      <x:c r="J40" s="1"/>
    </x:row>
    <x:row r="41" ht="24" customHeight="1">
      <x:c r="A41" s="1"/>
      <x:c r="B41" s="1"/>
      <x:c r="C41" s="1" t="str">
        <x:v>Hosting and AI-service cost</x:v>
      </x:c>
      <x:c r="D41" s="11" t="n">
        <x:v>3.15</x:v>
      </x:c>
      <x:c r="E41" s="11" t="n">
        <x:v>3.15</x:v>
      </x:c>
      <x:c r="F41" s="11" t="n">
        <x:v>3.15</x:v>
      </x:c>
      <x:c r="G41" s="11" t="n">
        <x:v>3.15</x:v>
      </x:c>
      <x:c r="H41" s="11" t="n">
        <x:v>3.15</x:v>
      </x:c>
      <x:c r="I41" s="11" t="n">
        <x:v>3.15</x:v>
      </x:c>
      <x:c r="J41" s="1"/>
    </x:row>
    <x:row r="42" ht="24" customHeight="1">
      <x:c r="A42" s="1"/>
      <x:c r="B42" s="1"/>
      <x:c r="C42" s="1" t="str">
        <x:v>Other operating expense</x:v>
      </x:c>
      <x:c r="D42" s="11" t="n">
        <x:v>7.08</x:v>
      </x:c>
      <x:c r="E42" s="11" t="n">
        <x:v>7.08</x:v>
      </x:c>
      <x:c r="F42" s="11" t="n">
        <x:v>7.08</x:v>
      </x:c>
      <x:c r="G42" s="11" t="n">
        <x:v>7.08</x:v>
      </x:c>
      <x:c r="H42" s="11" t="n">
        <x:v>7.08</x:v>
      </x:c>
      <x:c r="I42" s="11" t="n">
        <x:v>7.08</x:v>
      </x:c>
      <x:c r="J42" s="1"/>
    </x:row>
    <x:row r="43" ht="24" customHeight="1">
      <x:c r="A43" s="1"/>
      <x:c r="B43" s="1"/>
      <x:c r="C43" s="1" t="str">
        <x:v>Depreciation and amortization</x:v>
      </x:c>
      <x:c r="D43" s="11" t="n">
        <x:v>0.5</x:v>
      </x:c>
      <x:c r="E43" s="11" t="n">
        <x:v>0.5</x:v>
      </x:c>
      <x:c r="F43" s="11" t="n">
        <x:v>0.5</x:v>
      </x:c>
      <x:c r="G43" s="11" t="n">
        <x:v>0.5</x:v>
      </x:c>
      <x:c r="H43" s="11" t="n">
        <x:v>0.5</x:v>
      </x:c>
      <x:c r="I43" s="11" t="n">
        <x:v>0.5</x:v>
      </x:c>
      <x:c r="J43" s="1"/>
    </x:row>
    <x:row r="44" ht="24" customHeight="1">
      <x:c r="A44" s="1"/>
      <x:c r="B44" s="1"/>
      <x:c r="C44" s="1" t="str">
        <x:v>Capital expenditure</x:v>
      </x:c>
      <x:c r="D44" s="11" t="n">
        <x:v>0.8</x:v>
      </x:c>
      <x:c r="E44" s="11" t="n">
        <x:v>0.8</x:v>
      </x:c>
      <x:c r="F44" s="11" t="n">
        <x:v>0.8</x:v>
      </x:c>
      <x:c r="G44" s="11" t="n">
        <x:v>0.8</x:v>
      </x:c>
      <x:c r="H44" s="11" t="n">
        <x:v>0.8</x:v>
      </x:c>
      <x:c r="I44" s="11" t="n">
        <x:v>0.8</x:v>
      </x:c>
      <x:c r="J44" s="1"/>
    </x:row>
    <x:row r="45" ht="24" customHeight="1">
      <x:c r="A45" s="1"/>
      <x:c r="B45" s="1"/>
      <x:c r="C45" s="1" t="str">
        <x:v>Income tax rate</x:v>
      </x:c>
      <x:c r="D45" s="12" t="n">
        <x:v>0.25</x:v>
      </x:c>
      <x:c r="E45" s="12" t="n">
        <x:v>0.25</x:v>
      </x:c>
      <x:c r="F45" s="12" t="n">
        <x:v>0.25</x:v>
      </x:c>
      <x:c r="G45" s="12" t="n">
        <x:v>0.25</x:v>
      </x:c>
      <x:c r="H45" s="12" t="n">
        <x:v>0.25</x:v>
      </x:c>
      <x:c r="I45" s="12" t="n">
        <x:v>0.25</x:v>
      </x:c>
      <x:c r="J45" s="1"/>
    </x:row>
    <x:row r="46" ht="24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7" customHeight="1">
      <x:c r="A47" s="1"/>
      <x:c r="B47" s="1"/>
      <x:c r="C47" s="8" t="str">
        <x:v>SOURCES AND DEFINITIONS</x:v>
      </x:c>
      <x:c r="D47" s="9"/>
      <x:c r="E47" s="9"/>
      <x:c r="F47" s="9"/>
      <x:c r="G47" s="9"/>
      <x:c r="H47" s="9"/>
      <x:c r="I47" s="9"/>
      <x:c r="J47" s="1"/>
    </x:row>
    <x:row r="48" ht="24" customHeight="1">
      <x:c r="A48" s="1"/>
      <x:c r="B48" s="1"/>
      <x:c r="C48" s="1" t="str">
        <x:v>All numeric inputs are invented assumptions. No Duolingo financial metric is used.</x:v>
      </x:c>
      <x:c r="D48" s="2"/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1" t="str">
        <x:v>Source: 02 Original Credit Agreement, C00-C05; 03 Underwriting Memo, A1-A6.</x:v>
      </x:c>
      <x:c r="D49" s="2"/>
      <x:c r="E49" s="2"/>
      <x:c r="F49" s="2"/>
      <x:c r="G49" s="2"/>
      <x:c r="H49" s="2"/>
      <x:c r="I49" s="2"/>
      <x:c r="J49" s="1"/>
    </x:row>
    <x:row r="50" ht="24" customHeight="1">
      <x:c r="A50" s="1"/>
      <x:c r="B50" s="1"/>
      <x:c r="C50" s="1" t="str">
        <x:v>The opening account book averages six months of prepaid service remaining.</x:v>
      </x:c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 t="str">
        <x:v>Revenue uses average opening/closing paid accounts times annual price divided by 12.</x:v>
      </x:c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 t="str">
        <x:v>Paid billings use converted and renewed annual contracts times the annual price.</x:v>
      </x:c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 t="str">
        <x:v>Processing fees are paid on billings and recognized as expense with related revenue.</x:v>
      </x:c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 t="str">
        <x:v>Cash taxes use fixed estimated installments from the original monthly base case.</x:v>
      </x:c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 t="str">
        <x:v>Income-tax payable accumulates tax expense less cash installments; a negative is an asset.</x:v>
      </x:c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 t="str">
        <x:v>Other revenue/costs settle monthly. Processor receivables and operating payables stay fixed.</x:v>
      </x:c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 t="str">
        <x:v>Later reports 06-09 are excluded. Editing assumptions does not update the PDF snapshots.</x:v>
      </x:c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 t="str">
        <x:v>Real background only: Duolingo Inc FY2025 Form 10-K, filed February 27, 2026.</x:v>
      </x:c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 t="str">
        <x:v>https://www.sec.gov/Archives/edgar/data/1562088/000162828026012494/duol-20251231.htm</x:v>
      </x:c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 t="str">
        <x:v>This workbook is a simplified management model, not audited company reporting.</x:v>
      </x:c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3" customHeight="1">
      <x:c r="A2" s="1"/>
      <x:c r="B2" s="1"/>
      <x:c r="C2" s="3" t="str">
        <x:v>04 | Opening Position</x:v>
      </x:c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 t="str">
        <x:v>SYNTHETIC DEMO | DUO-MODEL-2026-10-01 | Available October 1, 2026</x:v>
      </x:c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 t="str">
        <x:v>Invented borrower and financials; no affiliation with Duolingo Inc is asserted.</x:v>
      </x:c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 t="str">
        <x:v>USD millions unless stated. Blue = inputs; green = sheet links; dark = formulas.</x:v>
      </x:c>
      <x:c r="D6" s="1"/>
      <x:c r="E6" s="1"/>
      <x:c r="F6" s="1"/>
      <x:c r="G6" s="1"/>
      <x:c r="H6" s="1"/>
      <x:c r="I6" s="1"/>
      <x:c r="J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CLOSING SOURCES AND USES</x:v>
      </x:c>
      <x:c r="D8" s="9"/>
      <x:c r="E8" s="9"/>
      <x:c r="F8" s="9"/>
      <x:c r="G8" s="9"/>
      <x:c r="H8" s="9"/>
      <x:c r="I8" s="9"/>
      <x:c r="J8" s="1"/>
    </x:row>
    <x:row r="9" ht="24" customHeight="1">
      <x:c r="A9" s="1"/>
      <x:c r="B9" s="1"/>
      <x:c r="C9" s="1" t="str">
        <x:v>Pre-funding cash</x:v>
      </x:c>
      <x:c r="D9" s="18" t="n">
        <x:f>Drivers!D27</x:f>
        <x:v>22</x:v>
      </x:c>
      <x:c r="E9" s="2"/>
      <x:c r="F9" s="2"/>
      <x:c r="G9" s="2"/>
      <x:c r="H9" s="2"/>
      <x:c r="I9" s="2"/>
      <x:c r="J9" s="1"/>
    </x:row>
    <x:row r="10" ht="24" customHeight="1">
      <x:c r="A10" s="1"/>
      <x:c r="B10" s="1"/>
      <x:c r="C10" s="1" t="str">
        <x:v>New facility proceeds</x:v>
      </x:c>
      <x:c r="D10" s="18" t="n">
        <x:f>Drivers!D9</x:f>
        <x:v>60</x:v>
      </x:c>
      <x:c r="E10" s="2"/>
      <x:c r="F10" s="2"/>
      <x:c r="G10" s="2"/>
      <x:c r="H10" s="2"/>
      <x:c r="I10" s="2"/>
      <x:c r="J10" s="1"/>
    </x:row>
    <x:row r="11" ht="24" customHeight="1">
      <x:c r="A11" s="1"/>
      <x:c r="B11" s="1"/>
      <x:c r="C11" s="1" t="str">
        <x:v>Repayment of prior debt</x:v>
      </x:c>
      <x:c r="D11" s="18" t="n">
        <x:f>Drivers!D28</x:f>
        <x:v>40</x:v>
      </x:c>
      <x:c r="E11" s="2"/>
      <x:c r="F11" s="2"/>
      <x:c r="G11" s="2"/>
      <x:c r="H11" s="2"/>
      <x:c r="I11" s="2"/>
      <x:c r="J11" s="1"/>
    </x:row>
    <x:row r="12" ht="24" customHeight="1">
      <x:c r="A12" s="1"/>
      <x:c r="B12" s="1"/>
      <x:c r="C12" s="24" t="str">
        <x:v>Closing total bank cash</x:v>
      </x:c>
      <x:c r="D12" s="25" t="n">
        <x:f>D9+D10-D11</x:f>
        <x:v>42</x:v>
      </x:c>
      <x:c r="E12" s="2"/>
      <x:c r="F12" s="2"/>
      <x:c r="G12" s="2"/>
      <x:c r="H12" s="2"/>
      <x:c r="I12" s="2"/>
      <x:c r="J12" s="1"/>
    </x:row>
    <x:row r="13" ht="24" customHeight="1">
      <x:c r="A13" s="1"/>
      <x:c r="B13" s="1"/>
      <x:c r="C13" s="1" t="str">
        <x:v>Less restricted reserve</x:v>
      </x:c>
      <x:c r="D13" s="18" t="n">
        <x:f>Drivers!D15</x:f>
        <x:v>4</x:v>
      </x:c>
      <x:c r="E13" s="2"/>
      <x:c r="F13" s="2"/>
      <x:c r="G13" s="2"/>
      <x:c r="H13" s="2"/>
      <x:c r="I13" s="2"/>
      <x:c r="J13" s="1"/>
    </x:row>
    <x:row r="14" ht="24" customHeight="1">
      <x:c r="A14" s="1"/>
      <x:c r="B14" s="1"/>
      <x:c r="C14" s="24" t="str">
        <x:v>Opening Unrestricted Cash</x:v>
      </x:c>
      <x:c r="D14" s="25" t="n">
        <x:f>D12-D13</x:f>
        <x:v>38</x:v>
      </x:c>
      <x:c r="E14" s="2"/>
      <x:c r="F14" s="2"/>
      <x:c r="G14" s="2"/>
      <x:c r="H14" s="2"/>
      <x:c r="I14" s="2"/>
      <x:c r="J14" s="1"/>
    </x:row>
    <x:row r="15" ht="24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1"/>
    </x:row>
    <x:row r="16" ht="27" customHeight="1">
      <x:c r="A16" s="1"/>
      <x:c r="B16" s="1"/>
      <x:c r="C16" s="8" t="str">
        <x:v>OPENING BALANCE SHEET</x:v>
      </x:c>
      <x:c r="D16" s="9"/>
      <x:c r="E16" s="9"/>
      <x:c r="F16" s="9"/>
      <x:c r="G16" s="9"/>
      <x:c r="H16" s="9"/>
      <x:c r="I16" s="9"/>
      <x:c r="J16" s="1"/>
    </x:row>
    <x:row r="17" ht="24" customHeight="1">
      <x:c r="A17" s="1"/>
      <x:c r="B17" s="1"/>
      <x:c r="C17" s="1" t="str">
        <x:v>Unrestricted bank cash</x:v>
      </x:c>
      <x:c r="D17" s="2" t="n">
        <x:f>D14</x:f>
        <x:v>38</x:v>
      </x:c>
      <x:c r="E17" s="2"/>
      <x:c r="F17" s="2"/>
      <x:c r="G17" s="2"/>
      <x:c r="H17" s="2"/>
      <x:c r="I17" s="2"/>
      <x:c r="J17" s="1"/>
    </x:row>
    <x:row r="18" ht="24" customHeight="1">
      <x:c r="A18" s="1"/>
      <x:c r="B18" s="1"/>
      <x:c r="C18" s="1" t="str">
        <x:v>Restricted reserve</x:v>
      </x:c>
      <x:c r="D18" s="2" t="n">
        <x:f>D13</x:f>
        <x:v>4</x:v>
      </x:c>
      <x:c r="E18" s="2"/>
      <x:c r="F18" s="2"/>
      <x:c r="G18" s="2"/>
      <x:c r="H18" s="2"/>
      <x:c r="I18" s="2"/>
      <x:c r="J18" s="1"/>
    </x:row>
    <x:row r="19" ht="24" customHeight="1">
      <x:c r="A19" s="1"/>
      <x:c r="B19" s="1"/>
      <x:c r="C19" s="1" t="str">
        <x:v>Processor settlement receivables</x:v>
      </x:c>
      <x:c r="D19" s="18" t="n">
        <x:f>Drivers!D16</x:f>
        <x:v>6</x:v>
      </x:c>
      <x:c r="E19" s="2"/>
      <x:c r="F19" s="2"/>
      <x:c r="G19" s="2"/>
      <x:c r="H19" s="2"/>
      <x:c r="I19" s="2"/>
      <x:c r="J19" s="1"/>
    </x:row>
    <x:row r="20" ht="24" customHeight="1">
      <x:c r="A20" s="1"/>
      <x:c r="B20" s="1"/>
      <x:c r="C20" s="1" t="str">
        <x:v>Deferred processing costs</x:v>
      </x:c>
      <x:c r="D20" s="18" t="n">
        <x:f>Drivers!D17</x:f>
        <x:v>15.12</x:v>
      </x:c>
      <x:c r="E20" s="2"/>
      <x:c r="F20" s="2"/>
      <x:c r="G20" s="2"/>
      <x:c r="H20" s="2"/>
      <x:c r="I20" s="2"/>
      <x:c r="J20" s="1"/>
    </x:row>
    <x:row r="21" ht="24" customHeight="1">
      <x:c r="A21" s="1"/>
      <x:c r="B21" s="1"/>
      <x:c r="C21" s="1" t="str">
        <x:v>Net fixed and intangible assets</x:v>
      </x:c>
      <x:c r="D21" s="18" t="n">
        <x:f>Drivers!D18</x:f>
        <x:v>100</x:v>
      </x:c>
      <x:c r="E21" s="2"/>
      <x:c r="F21" s="2"/>
      <x:c r="G21" s="2"/>
      <x:c r="H21" s="2"/>
      <x:c r="I21" s="2"/>
      <x:c r="J21" s="1"/>
    </x:row>
    <x:row r="22" ht="24" customHeight="1">
      <x:c r="A22" s="1"/>
      <x:c r="B22" s="1"/>
      <x:c r="C22" s="24" t="str">
        <x:v>Total assets</x:v>
      </x:c>
      <x:c r="D22" s="25" t="n">
        <x:f>SUM(D17:D21)</x:f>
        <x:v>163.12</x:v>
      </x:c>
      <x:c r="E22" s="2"/>
      <x:c r="F22" s="2"/>
      <x:c r="G22" s="2"/>
      <x:c r="H22" s="2"/>
      <x:c r="I22" s="2"/>
      <x:c r="J22" s="1"/>
    </x:row>
    <x:row r="23" ht="24" customHeight="1">
      <x:c r="A23" s="1"/>
      <x:c r="B23" s="1"/>
      <x:c r="C23" s="1" t="str">
        <x:v>Payables and operating accruals</x:v>
      </x:c>
      <x:c r="D23" s="18" t="n">
        <x:f>Drivers!D19</x:f>
        <x:v>7</x:v>
      </x:c>
      <x:c r="E23" s="2"/>
      <x:c r="F23" s="2"/>
      <x:c r="G23" s="2"/>
      <x:c r="H23" s="2"/>
      <x:c r="I23" s="2"/>
      <x:c r="J23" s="1"/>
    </x:row>
    <x:row r="24" ht="24" customHeight="1">
      <x:c r="A24" s="1"/>
      <x:c r="B24" s="1"/>
      <x:c r="C24" s="1" t="str">
        <x:v>Deferred subscription revenue</x:v>
      </x:c>
      <x:c r="D24" s="18" t="n">
        <x:f>Drivers!D20</x:f>
        <x:v>75.6</x:v>
      </x:c>
      <x:c r="E24" s="2"/>
      <x:c r="F24" s="2"/>
      <x:c r="G24" s="2"/>
      <x:c r="H24" s="2"/>
      <x:c r="I24" s="2"/>
      <x:c r="J24" s="1"/>
    </x:row>
    <x:row r="25" ht="24" customHeight="1">
      <x:c r="A25" s="1"/>
      <x:c r="B25" s="1"/>
      <x:c r="C25" s="1" t="str">
        <x:v>Debt principal</x:v>
      </x:c>
      <x:c r="D25" s="18" t="n">
        <x:f>Drivers!D9</x:f>
        <x:v>60</x:v>
      </x:c>
      <x:c r="E25" s="2"/>
      <x:c r="F25" s="2"/>
      <x:c r="G25" s="2"/>
      <x:c r="H25" s="2"/>
      <x:c r="I25" s="2"/>
      <x:c r="J25" s="1"/>
    </x:row>
    <x:row r="26" ht="24" customHeight="1">
      <x:c r="A26" s="1"/>
      <x:c r="B26" s="1"/>
      <x:c r="C26" s="1" t="str">
        <x:v>Equity</x:v>
      </x:c>
      <x:c r="D26" s="18" t="n">
        <x:f>Drivers!D21</x:f>
        <x:v>20.52</x:v>
      </x:c>
      <x:c r="E26" s="2"/>
      <x:c r="F26" s="2"/>
      <x:c r="G26" s="2"/>
      <x:c r="H26" s="2"/>
      <x:c r="I26" s="2"/>
      <x:c r="J26" s="1"/>
    </x:row>
    <x:row r="27" ht="24" customHeight="1">
      <x:c r="A27" s="1"/>
      <x:c r="B27" s="1"/>
      <x:c r="C27" s="24" t="str">
        <x:v>Liabilities and equity</x:v>
      </x:c>
      <x:c r="D27" s="25" t="n">
        <x:f>SUM(D23:D26)</x:f>
        <x:v>163.12</x:v>
      </x:c>
      <x:c r="E27" s="2"/>
      <x:c r="F27" s="2"/>
      <x:c r="G27" s="2"/>
      <x:c r="H27" s="2"/>
      <x:c r="I27" s="2"/>
      <x:c r="J27" s="1"/>
    </x:row>
    <x:row r="28" ht="24" customHeight="1">
      <x:c r="A28" s="1"/>
      <x:c r="B28" s="1"/>
      <x:c r="C28" s="24" t="str">
        <x:v>Balance-sheet check (zero)</x:v>
      </x:c>
      <x:c r="D28" s="25" t="n">
        <x:f>D22-D27</x:f>
        <x:v>0</x:v>
      </x:c>
      <x:c r="E28" s="2"/>
      <x:c r="F28" s="2"/>
      <x:c r="G28" s="2"/>
      <x:c r="H28" s="2"/>
      <x:c r="I28" s="2"/>
      <x:c r="J28" s="1"/>
    </x:row>
    <x:row r="29" ht="24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1"/>
    </x:row>
    <x:row r="30" ht="27" customHeight="1">
      <x:c r="A30" s="1"/>
      <x:c r="B30" s="1"/>
      <x:c r="C30" s="8" t="str">
        <x:v>ACTUAL LTM THROUGH SEPTEMBER 2026</x:v>
      </x:c>
      <x:c r="D30" s="9"/>
      <x:c r="E30" s="9"/>
      <x:c r="F30" s="9"/>
      <x:c r="G30" s="9"/>
      <x:c r="H30" s="9"/>
      <x:c r="I30" s="9"/>
      <x:c r="J30" s="1"/>
    </x:row>
    <x:row r="31" ht="24" customHeight="1">
      <x:c r="A31" s="1"/>
      <x:c r="B31" s="1"/>
      <x:c r="C31" s="1" t="str">
        <x:v>Subscription revenue</x:v>
      </x:c>
      <x:c r="D31" s="11" t="n">
        <x:v>151.2</x:v>
      </x:c>
      <x:c r="E31" s="2"/>
      <x:c r="F31" s="2"/>
      <x:c r="G31" s="2"/>
      <x:c r="H31" s="2"/>
      <x:c r="I31" s="2"/>
      <x:c r="J31" s="1"/>
    </x:row>
    <x:row r="32" ht="24" customHeight="1">
      <x:c r="A32" s="1"/>
      <x:c r="B32" s="1"/>
      <x:c r="C32" s="1" t="str">
        <x:v>Other revenue</x:v>
      </x:c>
      <x:c r="D32" s="11" t="n">
        <x:v>37.8</x:v>
      </x:c>
      <x:c r="E32" s="2"/>
      <x:c r="F32" s="2"/>
      <x:c r="G32" s="2"/>
      <x:c r="H32" s="2"/>
      <x:c r="I32" s="2"/>
      <x:c r="J32" s="1"/>
    </x:row>
    <x:row r="33" ht="24" customHeight="1">
      <x:c r="A33" s="1"/>
      <x:c r="B33" s="1"/>
      <x:c r="C33" s="24" t="str">
        <x:v>Total revenue</x:v>
      </x:c>
      <x:c r="D33" s="25" t="n">
        <x:f>SUM(D31:D32)</x:f>
        <x:v>189</x:v>
      </x:c>
      <x:c r="E33" s="2"/>
      <x:c r="F33" s="2"/>
      <x:c r="G33" s="2"/>
      <x:c r="H33" s="2"/>
      <x:c r="I33" s="2"/>
      <x:c r="J33" s="1"/>
    </x:row>
    <x:row r="34" ht="24" customHeight="1">
      <x:c r="A34" s="1"/>
      <x:c r="B34" s="1"/>
      <x:c r="C34" s="1" t="str">
        <x:v>Processing fee expense</x:v>
      </x:c>
      <x:c r="D34" s="11" t="n">
        <x:v>30.24</x:v>
      </x:c>
      <x:c r="E34" s="2"/>
      <x:c r="F34" s="2"/>
      <x:c r="G34" s="2"/>
      <x:c r="H34" s="2"/>
      <x:c r="I34" s="2"/>
      <x:c r="J34" s="1"/>
    </x:row>
    <x:row r="35" ht="24" customHeight="1">
      <x:c r="A35" s="1"/>
      <x:c r="B35" s="1"/>
      <x:c r="C35" s="1" t="str">
        <x:v>Hosting and AI services</x:v>
      </x:c>
      <x:c r="D35" s="11" t="n">
        <x:v>37.8</x:v>
      </x:c>
      <x:c r="E35" s="2"/>
      <x:c r="F35" s="2"/>
      <x:c r="G35" s="2"/>
      <x:c r="H35" s="2"/>
      <x:c r="I35" s="2"/>
      <x:c r="J35" s="1"/>
    </x:row>
    <x:row r="36" ht="24" customHeight="1">
      <x:c r="A36" s="1"/>
      <x:c r="B36" s="1"/>
      <x:c r="C36" s="1" t="str">
        <x:v>Other operating expense</x:v>
      </x:c>
      <x:c r="D36" s="11" t="n">
        <x:v>84.96</x:v>
      </x:c>
      <x:c r="E36" s="2"/>
      <x:c r="F36" s="2"/>
      <x:c r="G36" s="2"/>
      <x:c r="H36" s="2"/>
      <x:c r="I36" s="2"/>
      <x:c r="J36" s="1"/>
    </x:row>
    <x:row r="37" ht="24" customHeight="1">
      <x:c r="A37" s="1"/>
      <x:c r="B37" s="1"/>
      <x:c r="C37" s="24" t="str">
        <x:v>EBITDA</x:v>
      </x:c>
      <x:c r="D37" s="25" t="n">
        <x:f>D33-SUM(D34:D36)</x:f>
        <x:v>36</x:v>
      </x:c>
      <x:c r="E37" s="2"/>
      <x:c r="F37" s="2"/>
      <x:c r="G37" s="2"/>
      <x:c r="H37" s="2"/>
      <x:c r="I37" s="2"/>
      <x:c r="J37" s="1"/>
    </x:row>
    <x:row r="38" ht="24" customHeight="1">
      <x:c r="A38" s="1"/>
      <x:c r="B38" s="1"/>
      <x:c r="C38" s="1" t="str">
        <x:v>Depreciation and amortization</x:v>
      </x:c>
      <x:c r="D38" s="11" t="n">
        <x:v>6</x:v>
      </x:c>
      <x:c r="E38" s="2"/>
      <x:c r="F38" s="2"/>
      <x:c r="G38" s="2"/>
      <x:c r="H38" s="2"/>
      <x:c r="I38" s="2"/>
      <x:c r="J38" s="1"/>
    </x:row>
    <x:row r="39" ht="24" customHeight="1">
      <x:c r="A39" s="1"/>
      <x:c r="B39" s="1"/>
      <x:c r="C39" s="24" t="str">
        <x:v>EBIT</x:v>
      </x:c>
      <x:c r="D39" s="25" t="n">
        <x:f>D37-D38</x:f>
        <x:v>30</x:v>
      </x:c>
      <x:c r="E39" s="2"/>
      <x:c r="F39" s="2"/>
      <x:c r="G39" s="2"/>
      <x:c r="H39" s="2"/>
      <x:c r="I39" s="2"/>
      <x:c r="J39" s="1"/>
    </x:row>
    <x:row r="40" ht="24" customHeight="1">
      <x:c r="A40" s="1"/>
      <x:c r="B40" s="1"/>
      <x:c r="C40" s="1" t="str">
        <x:v>Historical interest expense</x:v>
      </x:c>
      <x:c r="D40" s="11" t="n">
        <x:v>5.4</x:v>
      </x:c>
      <x:c r="E40" s="2"/>
      <x:c r="F40" s="2"/>
      <x:c r="G40" s="2"/>
      <x:c r="H40" s="2"/>
      <x:c r="I40" s="2"/>
      <x:c r="J40" s="1"/>
    </x:row>
    <x:row r="41" ht="24" customHeight="1">
      <x:c r="A41" s="1"/>
      <x:c r="B41" s="1"/>
      <x:c r="C41" s="1" t="str">
        <x:v>Pretax income</x:v>
      </x:c>
      <x:c r="D41" s="2" t="n">
        <x:f>D39-D40</x:f>
        <x:v>24.6</x:v>
      </x:c>
      <x:c r="E41" s="2"/>
      <x:c r="F41" s="2"/>
      <x:c r="G41" s="2"/>
      <x:c r="H41" s="2"/>
      <x:c r="I41" s="2"/>
      <x:c r="J41" s="1"/>
    </x:row>
    <x:row r="42" ht="24" customHeight="1">
      <x:c r="A42" s="1"/>
      <x:c r="B42" s="1"/>
      <x:c r="C42" s="1" t="str">
        <x:v>Income tax expense</x:v>
      </x:c>
      <x:c r="D42" s="11" t="n">
        <x:v>6.15</x:v>
      </x:c>
      <x:c r="E42" s="2"/>
      <x:c r="F42" s="2"/>
      <x:c r="G42" s="2"/>
      <x:c r="H42" s="2"/>
      <x:c r="I42" s="2"/>
      <x:c r="J42" s="1"/>
    </x:row>
    <x:row r="43" ht="24" customHeight="1">
      <x:c r="A43" s="1"/>
      <x:c r="B43" s="1"/>
      <x:c r="C43" s="24" t="str">
        <x:v>Net income</x:v>
      </x:c>
      <x:c r="D43" s="25" t="n">
        <x:f>D41-D42</x:f>
        <x:v>18.450000000000003</x:v>
      </x:c>
      <x:c r="E43" s="2"/>
      <x:c r="F43" s="2"/>
      <x:c r="G43" s="2"/>
      <x:c r="H43" s="2"/>
      <x:c r="I43" s="2"/>
      <x:c r="J43" s="1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7" customHeight="1">
      <x:c r="A45" s="1"/>
      <x:c r="B45" s="1"/>
      <x:c r="C45" s="8" t="str">
        <x:v>CONTROLS AND REFERENCE VALUES</x:v>
      </x:c>
      <x:c r="D45" s="9"/>
      <x:c r="E45" s="9"/>
      <x:c r="F45" s="9"/>
      <x:c r="G45" s="9"/>
      <x:c r="H45" s="9"/>
      <x:c r="I45" s="9"/>
      <x:c r="J45" s="1"/>
    </x:row>
    <x:row r="46" ht="24" customHeight="1">
      <x:c r="A46" s="1"/>
      <x:c r="B46" s="1"/>
      <x:c r="C46" s="1" t="str">
        <x:v>Illustrative opening Net Leverage</x:v>
      </x:c>
      <x:c r="D46" s="19" t="n">
        <x:f>MAX(0,D25-D14)/D37</x:f>
        <x:v>0.6111111111111112</x:v>
      </x:c>
      <x:c r="E46" s="2"/>
      <x:c r="F46" s="2"/>
      <x:c r="G46" s="2"/>
      <x:c r="H46" s="2"/>
      <x:c r="I46" s="2"/>
      <x:c r="J46" s="1"/>
    </x:row>
    <x:row r="47" ht="24" customHeight="1">
      <x:c r="A47" s="1"/>
      <x:c r="B47" s="1"/>
      <x:c r="C47" s="1" t="str">
        <x:v>Cash headroom above C01 floor</x:v>
      </x:c>
      <x:c r="D47" s="18" t="n">
        <x:f>D14-Drivers!D11</x:f>
        <x:v>13</x:v>
      </x:c>
      <x:c r="E47" s="2"/>
      <x:c r="F47" s="2"/>
      <x:c r="G47" s="2"/>
      <x:c r="H47" s="2"/>
      <x:c r="I47" s="2"/>
      <x:c r="J47" s="1"/>
    </x:row>
    <x:row r="48" ht="24" customHeight="1">
      <x:c r="A48" s="1"/>
      <x:c r="B48" s="1"/>
      <x:c r="C48" s="1" t="str">
        <x:v>Jan-Sep actual EBITDA for later LTM test</x:v>
      </x:c>
      <x:c r="D48" s="18" t="n">
        <x:f>Drivers!D29</x:f>
        <x:v>27</x:v>
      </x:c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24" t="str">
        <x:v>Deferred revenue control (zero)</x:v>
      </x:c>
      <x:c r="D49" s="28" t="n">
        <x:f>D24-Drivers!D22*Drivers!D23/12*Drivers!D24/1000000</x:f>
        <x:v>0</x:v>
      </x:c>
      <x:c r="E49" s="2"/>
      <x:c r="F49" s="2"/>
      <x:c r="G49" s="2"/>
      <x:c r="H49" s="2"/>
      <x:c r="I49" s="2"/>
      <x:c r="J49" s="1"/>
    </x:row>
    <x:row r="50" ht="24" customHeight="1">
      <x:c r="A50" s="1"/>
      <x:c r="B50" s="1"/>
      <x:c r="C50" s="24" t="str">
        <x:v>Deferred processing costs control (zero)</x:v>
      </x:c>
      <x:c r="D50" s="28" t="n">
        <x:f>D20-D24*Drivers!D40</x:f>
        <x:v>0</x:v>
      </x:c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 t="str">
        <x:v>Historical statement inputs are synthetic; they happen to match the origination base run rate.</x:v>
      </x:c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 t="str">
        <x:v>The closing leverage illustration is not a contractual quarter-end test or forecast certificate.</x:v>
      </x:c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conditionalFormatting sqref="D28:D28">
    <x:cfRule type="expression" dxfId="0" priority="1">
      <x:formula>ABS(D28)&gt;0.000001</x:formula>
    </x:cfRule>
  </x:conditionalFormatting>
  <x:conditionalFormatting sqref="D49:D49">
    <x:cfRule type="expression" dxfId="1" priority="2">
      <x:formula>ABS(D49)&gt;0.000001</x:formula>
    </x:cfRule>
  </x:conditionalFormatting>
  <x:conditionalFormatting sqref="D50:D50">
    <x:cfRule type="expression" dxfId="2" priority="3">
      <x:formula>ABS(D50)&gt;0.000001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3" customHeight="1">
      <x:c r="A2" s="1"/>
      <x:c r="B2" s="1"/>
      <x:c r="C2" s="3" t="str">
        <x:v>04 | Operating Forecast</x:v>
      </x:c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 t="str">
        <x:v>SYNTHETIC DEMO | DUO-MODEL-2026-10-01 | Available October 1, 2026</x:v>
      </x:c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 t="str">
        <x:v>Invented borrower and financials; no affiliation with Duolingo Inc is asserted.</x:v>
      </x:c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 t="str">
        <x:v>USD millions unless stated. Blue = inputs; green = sheet links; dark = formulas.</x:v>
      </x:c>
      <x:c r="D6" s="1"/>
      <x:c r="E6" s="1"/>
      <x:c r="F6" s="1"/>
      <x:c r="G6" s="1"/>
      <x:c r="H6" s="1"/>
      <x:c r="I6" s="1"/>
      <x:c r="J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 OPERATING STATEMENT</x:v>
      </x:c>
      <x:c r="D8" s="9"/>
      <x:c r="E8" s="9"/>
      <x:c r="F8" s="9"/>
      <x:c r="G8" s="9"/>
      <x:c r="H8" s="9"/>
      <x:c r="I8" s="9"/>
      <x:c r="J8" s="1"/>
    </x:row>
    <x:row r="9" ht="24" customHeight="1">
      <x:c r="A9" s="1"/>
      <x:c r="B9" s="1"/>
      <x:c r="C9" s="1" t="str">
        <x:v>Month ending</x:v>
      </x:c>
      <x:c r="D9" s="17" t="n">
        <x:f>Drivers!D33</x:f>
        <x:v>46326</x:v>
      </x:c>
      <x:c r="E9" s="17" t="n">
        <x:f>Drivers!E33</x:f>
        <x:v>46356</x:v>
      </x:c>
      <x:c r="F9" s="17" t="n">
        <x:f>Drivers!F33</x:f>
        <x:v>46387</x:v>
      </x:c>
      <x:c r="G9" s="17" t="n">
        <x:f>Drivers!G33</x:f>
        <x:v>46418</x:v>
      </x:c>
      <x:c r="H9" s="17" t="n">
        <x:f>Drivers!H33</x:f>
        <x:v>46446</x:v>
      </x:c>
      <x:c r="I9" s="17" t="n">
        <x:f>Drivers!I33</x:f>
        <x:v>46477</x:v>
      </x:c>
      <x:c r="J9" s="1"/>
    </x:row>
    <x:row r="10" ht="27" customHeight="1">
      <x:c r="A10" s="1"/>
      <x:c r="B10" s="1"/>
      <x:c r="C10" s="8" t="str">
        <x:v>ACCOUNTS AND COHORTS</x:v>
      </x:c>
      <x:c r="D10" s="9"/>
      <x:c r="E10" s="9"/>
      <x:c r="F10" s="9"/>
      <x:c r="G10" s="9"/>
      <x:c r="H10" s="9"/>
      <x:c r="I10" s="9"/>
      <x:c r="J10" s="1"/>
    </x:row>
    <x:row r="11" ht="24" customHeight="1">
      <x:c r="A11" s="1"/>
      <x:c r="B11" s="1"/>
      <x:c r="C11" s="1" t="str">
        <x:v>Opening paid annual accounts</x:v>
      </x:c>
      <x:c r="D11" s="29" t="n">
        <x:f>Drivers!D22</x:f>
        <x:v>840000</x:v>
      </x:c>
      <x:c r="E11" s="30" t="n">
        <x:f>D17</x:f>
        <x:v>840000</x:v>
      </x:c>
      <x:c r="F11" s="30" t="n">
        <x:f>E17</x:f>
        <x:v>840000</x:v>
      </x:c>
      <x:c r="G11" s="30" t="n">
        <x:f>F17</x:f>
        <x:v>840000</x:v>
      </x:c>
      <x:c r="H11" s="30" t="n">
        <x:f>G17</x:f>
        <x:v>840000</x:v>
      </x:c>
      <x:c r="I11" s="30" t="n">
        <x:f>H17</x:f>
        <x:v>840000</x:v>
      </x:c>
      <x:c r="J11" s="1"/>
    </x:row>
    <x:row r="12" ht="24" customHeight="1">
      <x:c r="A12" s="1"/>
      <x:c r="B12" s="1"/>
      <x:c r="C12" s="1" t="str">
        <x:v>Annual accounts due for renewal</x:v>
      </x:c>
      <x:c r="D12" s="29" t="n">
        <x:f>Drivers!D37</x:f>
        <x:v>70000</x:v>
      </x:c>
      <x:c r="E12" s="29" t="n">
        <x:f>Drivers!E37</x:f>
        <x:v>70000</x:v>
      </x:c>
      <x:c r="F12" s="29" t="n">
        <x:f>Drivers!F37</x:f>
        <x:v>70000</x:v>
      </x:c>
      <x:c r="G12" s="29" t="n">
        <x:f>Drivers!G37</x:f>
        <x:v>70000</x:v>
      </x:c>
      <x:c r="H12" s="29" t="n">
        <x:f>Drivers!H37</x:f>
        <x:v>70000</x:v>
      </x:c>
      <x:c r="I12" s="29" t="n">
        <x:f>Drivers!I37</x:f>
        <x:v>70000</x:v>
      </x:c>
      <x:c r="J12" s="1"/>
    </x:row>
    <x:row r="13" ht="24" customHeight="1">
      <x:c r="A13" s="1"/>
      <x:c r="B13" s="1"/>
      <x:c r="C13" s="1" t="str">
        <x:v>Renewed annual accounts</x:v>
      </x:c>
      <x:c r="D13" s="29" t="n">
        <x:f>ROUND(D12*Drivers!D38,0)</x:f>
        <x:v>64400</x:v>
      </x:c>
      <x:c r="E13" s="29" t="n">
        <x:f>ROUND(E12*Drivers!E38,0)</x:f>
        <x:v>64400</x:v>
      </x:c>
      <x:c r="F13" s="29" t="n">
        <x:f>ROUND(F12*Drivers!F38,0)</x:f>
        <x:v>64400</x:v>
      </x:c>
      <x:c r="G13" s="29" t="n">
        <x:f>ROUND(G12*Drivers!G38,0)</x:f>
        <x:v>64400</x:v>
      </x:c>
      <x:c r="H13" s="29" t="n">
        <x:f>ROUND(H12*Drivers!H38,0)</x:f>
        <x:v>64400</x:v>
      </x:c>
      <x:c r="I13" s="29" t="n">
        <x:f>ROUND(I12*Drivers!I38,0)</x:f>
        <x:v>64400</x:v>
      </x:c>
      <x:c r="J13" s="1"/>
    </x:row>
    <x:row r="14" ht="24" customHeight="1">
      <x:c r="A14" s="1"/>
      <x:c r="B14" s="1"/>
      <x:c r="C14" s="1" t="str">
        <x:v>Nonrenewals</x:v>
      </x:c>
      <x:c r="D14" s="30" t="n">
        <x:f>D12-D13</x:f>
        <x:v>5600</x:v>
      </x:c>
      <x:c r="E14" s="30" t="n">
        <x:f>E12-E13</x:f>
        <x:v>5600</x:v>
      </x:c>
      <x:c r="F14" s="30" t="n">
        <x:f>F12-F13</x:f>
        <x:v>5600</x:v>
      </x:c>
      <x:c r="G14" s="30" t="n">
        <x:f>G12-G13</x:f>
        <x:v>5600</x:v>
      </x:c>
      <x:c r="H14" s="30" t="n">
        <x:f>H12-H13</x:f>
        <x:v>5600</x:v>
      </x:c>
      <x:c r="I14" s="30" t="n">
        <x:f>I12-I13</x:f>
        <x:v>5600</x:v>
      </x:c>
      <x:c r="J14" s="1"/>
    </x:row>
    <x:row r="15" ht="24" customHeight="1">
      <x:c r="A15" s="1"/>
      <x:c r="B15" s="1"/>
      <x:c r="C15" s="1" t="str">
        <x:v>Eligible completed trial accounts</x:v>
      </x:c>
      <x:c r="D15" s="29" t="n">
        <x:f>Drivers!D35</x:f>
        <x:v>70000</x:v>
      </x:c>
      <x:c r="E15" s="29" t="n">
        <x:f>Drivers!E35</x:f>
        <x:v>70000</x:v>
      </x:c>
      <x:c r="F15" s="29" t="n">
        <x:f>Drivers!F35</x:f>
        <x:v>70000</x:v>
      </x:c>
      <x:c r="G15" s="29" t="n">
        <x:f>Drivers!G35</x:f>
        <x:v>70000</x:v>
      </x:c>
      <x:c r="H15" s="29" t="n">
        <x:f>Drivers!H35</x:f>
        <x:v>70000</x:v>
      </x:c>
      <x:c r="I15" s="29" t="n">
        <x:f>Drivers!I35</x:f>
        <x:v>70000</x:v>
      </x:c>
      <x:c r="J15" s="1"/>
    </x:row>
    <x:row r="16" ht="24" customHeight="1">
      <x:c r="A16" s="1"/>
      <x:c r="B16" s="1"/>
      <x:c r="C16" s="1" t="str">
        <x:v>Converted trials</x:v>
      </x:c>
      <x:c r="D16" s="29" t="n">
        <x:f>ROUND(D15*Drivers!D36,0)</x:f>
        <x:v>5600</x:v>
      </x:c>
      <x:c r="E16" s="29" t="n">
        <x:f>ROUND(E15*Drivers!E36,0)</x:f>
        <x:v>5600</x:v>
      </x:c>
      <x:c r="F16" s="29" t="n">
        <x:f>ROUND(F15*Drivers!F36,0)</x:f>
        <x:v>5600</x:v>
      </x:c>
      <x:c r="G16" s="29" t="n">
        <x:f>ROUND(G15*Drivers!G36,0)</x:f>
        <x:v>5600</x:v>
      </x:c>
      <x:c r="H16" s="29" t="n">
        <x:f>ROUND(H15*Drivers!H36,0)</x:f>
        <x:v>5600</x:v>
      </x:c>
      <x:c r="I16" s="29" t="n">
        <x:f>ROUND(I15*Drivers!I36,0)</x:f>
        <x:v>5600</x:v>
      </x:c>
      <x:c r="J16" s="1"/>
    </x:row>
    <x:row r="17" ht="24" customHeight="1">
      <x:c r="A17" s="1"/>
      <x:c r="B17" s="1"/>
      <x:c r="C17" s="24" t="str">
        <x:v>Ending paid annual accounts</x:v>
      </x:c>
      <x:c r="D17" s="35" t="n">
        <x:f>D11-D14+D16</x:f>
        <x:v>840000</x:v>
      </x:c>
      <x:c r="E17" s="35" t="n">
        <x:f>E11-E14+E16</x:f>
        <x:v>840000</x:v>
      </x:c>
      <x:c r="F17" s="35" t="n">
        <x:f>F11-F14+F16</x:f>
        <x:v>840000</x:v>
      </x:c>
      <x:c r="G17" s="35" t="n">
        <x:f>G11-G14+G16</x:f>
        <x:v>840000</x:v>
      </x:c>
      <x:c r="H17" s="35" t="n">
        <x:f>H11-H14+H16</x:f>
        <x:v>840000</x:v>
      </x:c>
      <x:c r="I17" s="35" t="n">
        <x:f>I11-I14+I16</x:f>
        <x:v>840000</x:v>
      </x:c>
      <x:c r="J17" s="1"/>
    </x:row>
    <x:row r="18" ht="24" customHeight="1">
      <x:c r="A18" s="1"/>
      <x:c r="B18" s="1"/>
      <x:c r="C18" s="1" t="str">
        <x:v>Average paid annual accounts</x:v>
      </x:c>
      <x:c r="D18" s="30" t="n">
        <x:f>(D11+D17)/2</x:f>
        <x:v>840000</x:v>
      </x:c>
      <x:c r="E18" s="30" t="n">
        <x:f>(E11+E17)/2</x:f>
        <x:v>840000</x:v>
      </x:c>
      <x:c r="F18" s="30" t="n">
        <x:f>(F11+F17)/2</x:f>
        <x:v>840000</x:v>
      </x:c>
      <x:c r="G18" s="30" t="n">
        <x:f>(G11+G17)/2</x:f>
        <x:v>840000</x:v>
      </x:c>
      <x:c r="H18" s="30" t="n">
        <x:f>(H11+H17)/2</x:f>
        <x:v>840000</x:v>
      </x:c>
      <x:c r="I18" s="30" t="n">
        <x:f>(I11+I17)/2</x:f>
        <x:v>840000</x:v>
      </x:c>
      <x:c r="J18" s="1"/>
    </x:row>
    <x:row r="19" ht="24" customHeight="1">
      <x:c r="A19" s="1"/>
      <x:c r="B19" s="1"/>
      <x:c r="C19" s="1" t="str">
        <x:v>Trial conversion</x:v>
      </x:c>
      <x:c r="D19" s="31" t="n">
        <x:f>IF(D15=0,"Unassessed",D16/D15)</x:f>
        <x:v>0.08</x:v>
      </x:c>
      <x:c r="E19" s="31" t="n">
        <x:f>IF(E15=0,"Unassessed",E16/E15)</x:f>
        <x:v>0.08</x:v>
      </x:c>
      <x:c r="F19" s="31" t="n">
        <x:f>IF(F15=0,"Unassessed",F16/F15)</x:f>
        <x:v>0.08</x:v>
      </x:c>
      <x:c r="G19" s="31" t="n">
        <x:f>IF(G15=0,"Unassessed",G16/G15)</x:f>
        <x:v>0.08</x:v>
      </x:c>
      <x:c r="H19" s="31" t="n">
        <x:f>IF(H15=0,"Unassessed",H16/H15)</x:f>
        <x:v>0.08</x:v>
      </x:c>
      <x:c r="I19" s="31" t="n">
        <x:f>IF(I15=0,"Unassessed",I16/I15)</x:f>
        <x:v>0.08</x:v>
      </x:c>
      <x:c r="J19" s="1"/>
    </x:row>
    <x:row r="20" ht="24" customHeight="1">
      <x:c r="A20" s="1"/>
      <x:c r="B20" s="1"/>
      <x:c r="C20" s="1" t="str">
        <x:v>Annual renewal</x:v>
      </x:c>
      <x:c r="D20" s="31" t="n">
        <x:f>IF(D12=0,"Unassessed",D13/D12)</x:f>
        <x:v>0.92</x:v>
      </x:c>
      <x:c r="E20" s="31" t="n">
        <x:f>IF(E12=0,"Unassessed",E13/E12)</x:f>
        <x:v>0.92</x:v>
      </x:c>
      <x:c r="F20" s="31" t="n">
        <x:f>IF(F12=0,"Unassessed",F13/F12)</x:f>
        <x:v>0.92</x:v>
      </x:c>
      <x:c r="G20" s="31" t="n">
        <x:f>IF(G12=0,"Unassessed",G13/G12)</x:f>
        <x:v>0.92</x:v>
      </x:c>
      <x:c r="H20" s="31" t="n">
        <x:f>IF(H12=0,"Unassessed",H13/H12)</x:f>
        <x:v>0.92</x:v>
      </x:c>
      <x:c r="I20" s="31" t="n">
        <x:f>IF(I12=0,"Unassessed",I13/I12)</x:f>
        <x:v>0.92</x:v>
      </x:c>
      <x:c r="J20" s="1"/>
    </x:row>
    <x:row r="21" ht="24" customHeight="1">
      <x:c r="A21" s="1"/>
      <x:c r="B21" s="1"/>
      <x:c r="C21" s="1" t="str">
        <x:v>Monthly active users, millions</x:v>
      </x:c>
      <x:c r="D21" s="32" t="n">
        <x:f>Drivers!D34</x:f>
        <x:v>8.4</x:v>
      </x:c>
      <x:c r="E21" s="32" t="n">
        <x:f>Drivers!E34</x:f>
        <x:v>8.7</x:v>
      </x:c>
      <x:c r="F21" s="32" t="n">
        <x:f>Drivers!F34</x:f>
        <x:v>9</x:v>
      </x:c>
      <x:c r="G21" s="32" t="n">
        <x:f>Drivers!G34</x:f>
        <x:v>9.3</x:v>
      </x:c>
      <x:c r="H21" s="32" t="n">
        <x:f>Drivers!H34</x:f>
        <x:v>9.6</x:v>
      </x:c>
      <x:c r="I21" s="32" t="n">
        <x:f>Drivers!I34</x:f>
        <x:v>9.9</x:v>
      </x:c>
      <x:c r="J21" s="1"/>
    </x:row>
    <x:row r="22" ht="24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1"/>
    </x:row>
    <x:row r="23" ht="27" customHeight="1">
      <x:c r="A23" s="1"/>
      <x:c r="B23" s="1"/>
      <x:c r="C23" s="8" t="str">
        <x:v>INCOME STATEMENT</x:v>
      </x:c>
      <x:c r="D23" s="9"/>
      <x:c r="E23" s="9"/>
      <x:c r="F23" s="9"/>
      <x:c r="G23" s="9"/>
      <x:c r="H23" s="9"/>
      <x:c r="I23" s="9"/>
      <x:c r="J23" s="1"/>
    </x:row>
    <x:row r="24" ht="24" customHeight="1">
      <x:c r="A24" s="1"/>
      <x:c r="B24" s="1"/>
      <x:c r="C24" s="1" t="str">
        <x:v>Subscription recognized revenue</x:v>
      </x:c>
      <x:c r="D24" s="18" t="n">
        <x:f>D18*Drivers!$D$23/12/1000000</x:f>
        <x:v>12.6</x:v>
      </x:c>
      <x:c r="E24" s="18" t="n">
        <x:f>E18*Drivers!$D$23/12/1000000</x:f>
        <x:v>12.6</x:v>
      </x:c>
      <x:c r="F24" s="18" t="n">
        <x:f>F18*Drivers!$D$23/12/1000000</x:f>
        <x:v>12.6</x:v>
      </x:c>
      <x:c r="G24" s="18" t="n">
        <x:f>G18*Drivers!$D$23/12/1000000</x:f>
        <x:v>12.6</x:v>
      </x:c>
      <x:c r="H24" s="18" t="n">
        <x:f>H18*Drivers!$D$23/12/1000000</x:f>
        <x:v>12.6</x:v>
      </x:c>
      <x:c r="I24" s="18" t="n">
        <x:f>I18*Drivers!$D$23/12/1000000</x:f>
        <x:v>12.6</x:v>
      </x:c>
      <x:c r="J24" s="1"/>
    </x:row>
    <x:row r="25" ht="24" customHeight="1">
      <x:c r="A25" s="1"/>
      <x:c r="B25" s="1"/>
      <x:c r="C25" s="1" t="str">
        <x:v>Other recognized revenue</x:v>
      </x:c>
      <x:c r="D25" s="18" t="n">
        <x:f>Drivers!D39</x:f>
        <x:v>3.15</x:v>
      </x:c>
      <x:c r="E25" s="18" t="n">
        <x:f>Drivers!E39</x:f>
        <x:v>3.15</x:v>
      </x:c>
      <x:c r="F25" s="18" t="n">
        <x:f>Drivers!F39</x:f>
        <x:v>3.15</x:v>
      </x:c>
      <x:c r="G25" s="18" t="n">
        <x:f>Drivers!G39</x:f>
        <x:v>3.15</x:v>
      </x:c>
      <x:c r="H25" s="18" t="n">
        <x:f>Drivers!H39</x:f>
        <x:v>3.15</x:v>
      </x:c>
      <x:c r="I25" s="18" t="n">
        <x:f>Drivers!I39</x:f>
        <x:v>3.15</x:v>
      </x:c>
      <x:c r="J25" s="1"/>
    </x:row>
    <x:row r="26" ht="24" customHeight="1">
      <x:c r="A26" s="1"/>
      <x:c r="B26" s="1"/>
      <x:c r="C26" s="24" t="str">
        <x:v>Total recognized revenue</x:v>
      </x:c>
      <x:c r="D26" s="25" t="n">
        <x:f>SUM(D24:D25)</x:f>
        <x:v>15.75</x:v>
      </x:c>
      <x:c r="E26" s="25" t="n">
        <x:f>SUM(E24:E25)</x:f>
        <x:v>15.75</x:v>
      </x:c>
      <x:c r="F26" s="25" t="n">
        <x:f>SUM(F24:F25)</x:f>
        <x:v>15.75</x:v>
      </x:c>
      <x:c r="G26" s="25" t="n">
        <x:f>SUM(G24:G25)</x:f>
        <x:v>15.75</x:v>
      </x:c>
      <x:c r="H26" s="25" t="n">
        <x:f>SUM(H24:H25)</x:f>
        <x:v>15.75</x:v>
      </x:c>
      <x:c r="I26" s="25" t="n">
        <x:f>SUM(I24:I25)</x:f>
        <x:v>15.75</x:v>
      </x:c>
      <x:c r="J26" s="1"/>
    </x:row>
    <x:row r="27" ht="24" customHeight="1">
      <x:c r="A27" s="1"/>
      <x:c r="B27" s="1"/>
      <x:c r="C27" s="1" t="str">
        <x:v>Processing fee expense</x:v>
      </x:c>
      <x:c r="D27" s="18" t="n">
        <x:f>D24*Drivers!D40</x:f>
        <x:v>2.52</x:v>
      </x:c>
      <x:c r="E27" s="18" t="n">
        <x:f>E24*Drivers!E40</x:f>
        <x:v>2.52</x:v>
      </x:c>
      <x:c r="F27" s="18" t="n">
        <x:f>F24*Drivers!F40</x:f>
        <x:v>2.52</x:v>
      </x:c>
      <x:c r="G27" s="18" t="n">
        <x:f>G24*Drivers!G40</x:f>
        <x:v>2.52</x:v>
      </x:c>
      <x:c r="H27" s="18" t="n">
        <x:f>H24*Drivers!H40</x:f>
        <x:v>2.52</x:v>
      </x:c>
      <x:c r="I27" s="18" t="n">
        <x:f>I24*Drivers!I40</x:f>
        <x:v>2.52</x:v>
      </x:c>
      <x:c r="J27" s="1"/>
    </x:row>
    <x:row r="28" ht="24" customHeight="1">
      <x:c r="A28" s="1"/>
      <x:c r="B28" s="1"/>
      <x:c r="C28" s="1" t="str">
        <x:v>Hosting and AI-service expense</x:v>
      </x:c>
      <x:c r="D28" s="18" t="n">
        <x:f>Drivers!D41</x:f>
        <x:v>3.15</x:v>
      </x:c>
      <x:c r="E28" s="18" t="n">
        <x:f>Drivers!E41</x:f>
        <x:v>3.15</x:v>
      </x:c>
      <x:c r="F28" s="18" t="n">
        <x:f>Drivers!F41</x:f>
        <x:v>3.15</x:v>
      </x:c>
      <x:c r="G28" s="18" t="n">
        <x:f>Drivers!G41</x:f>
        <x:v>3.15</x:v>
      </x:c>
      <x:c r="H28" s="18" t="n">
        <x:f>Drivers!H41</x:f>
        <x:v>3.15</x:v>
      </x:c>
      <x:c r="I28" s="18" t="n">
        <x:f>Drivers!I41</x:f>
        <x:v>3.15</x:v>
      </x:c>
      <x:c r="J28" s="1"/>
    </x:row>
    <x:row r="29" ht="24" customHeight="1">
      <x:c r="A29" s="1"/>
      <x:c r="B29" s="1"/>
      <x:c r="C29" s="1" t="str">
        <x:v>Other operating expense</x:v>
      </x:c>
      <x:c r="D29" s="18" t="n">
        <x:f>Drivers!D42</x:f>
        <x:v>7.08</x:v>
      </x:c>
      <x:c r="E29" s="18" t="n">
        <x:f>Drivers!E42</x:f>
        <x:v>7.08</x:v>
      </x:c>
      <x:c r="F29" s="18" t="n">
        <x:f>Drivers!F42</x:f>
        <x:v>7.08</x:v>
      </x:c>
      <x:c r="G29" s="18" t="n">
        <x:f>Drivers!G42</x:f>
        <x:v>7.08</x:v>
      </x:c>
      <x:c r="H29" s="18" t="n">
        <x:f>Drivers!H42</x:f>
        <x:v>7.08</x:v>
      </x:c>
      <x:c r="I29" s="18" t="n">
        <x:f>Drivers!I42</x:f>
        <x:v>7.08</x:v>
      </x:c>
      <x:c r="J29" s="1"/>
    </x:row>
    <x:row r="30" ht="24" customHeight="1">
      <x:c r="A30" s="1"/>
      <x:c r="B30" s="1"/>
      <x:c r="C30" s="24" t="str">
        <x:v>EBITDA</x:v>
      </x:c>
      <x:c r="D30" s="25" t="n">
        <x:f>D26-SUM(D27:D29)</x:f>
        <x:v>3</x:v>
      </x:c>
      <x:c r="E30" s="25" t="n">
        <x:f>E26-SUM(E27:E29)</x:f>
        <x:v>3</x:v>
      </x:c>
      <x:c r="F30" s="25" t="n">
        <x:f>F26-SUM(F27:F29)</x:f>
        <x:v>3</x:v>
      </x:c>
      <x:c r="G30" s="25" t="n">
        <x:f>G26-SUM(G27:G29)</x:f>
        <x:v>3</x:v>
      </x:c>
      <x:c r="H30" s="25" t="n">
        <x:f>H26-SUM(H27:H29)</x:f>
        <x:v>3</x:v>
      </x:c>
      <x:c r="I30" s="25" t="n">
        <x:f>I26-SUM(I27:I29)</x:f>
        <x:v>3</x:v>
      </x:c>
      <x:c r="J30" s="1"/>
    </x:row>
    <x:row r="31" ht="24" customHeight="1">
      <x:c r="A31" s="1"/>
      <x:c r="B31" s="1"/>
      <x:c r="C31" s="1" t="str">
        <x:v>Depreciation and amortization</x:v>
      </x:c>
      <x:c r="D31" s="18" t="n">
        <x:f>Drivers!D43</x:f>
        <x:v>0.5</x:v>
      </x:c>
      <x:c r="E31" s="18" t="n">
        <x:f>Drivers!E43</x:f>
        <x:v>0.5</x:v>
      </x:c>
      <x:c r="F31" s="18" t="n">
        <x:f>Drivers!F43</x:f>
        <x:v>0.5</x:v>
      </x:c>
      <x:c r="G31" s="18" t="n">
        <x:f>Drivers!G43</x:f>
        <x:v>0.5</x:v>
      </x:c>
      <x:c r="H31" s="18" t="n">
        <x:f>Drivers!H43</x:f>
        <x:v>0.5</x:v>
      </x:c>
      <x:c r="I31" s="18" t="n">
        <x:f>Drivers!I43</x:f>
        <x:v>0.5</x:v>
      </x:c>
      <x:c r="J31" s="1"/>
    </x:row>
    <x:row r="32" ht="24" customHeight="1">
      <x:c r="A32" s="1"/>
      <x:c r="B32" s="1"/>
      <x:c r="C32" s="24" t="str">
        <x:v>EBIT</x:v>
      </x:c>
      <x:c r="D32" s="25" t="n">
        <x:f>D30-D31</x:f>
        <x:v>2.5</x:v>
      </x:c>
      <x:c r="E32" s="25" t="n">
        <x:f>E30-E31</x:f>
        <x:v>2.5</x:v>
      </x:c>
      <x:c r="F32" s="25" t="n">
        <x:f>F30-F31</x:f>
        <x:v>2.5</x:v>
      </x:c>
      <x:c r="G32" s="25" t="n">
        <x:f>G30-G31</x:f>
        <x:v>2.5</x:v>
      </x:c>
      <x:c r="H32" s="25" t="n">
        <x:f>H30-H31</x:f>
        <x:v>2.5</x:v>
      </x:c>
      <x:c r="I32" s="25" t="n">
        <x:f>I30-I31</x:f>
        <x:v>2.5</x:v>
      </x:c>
      <x:c r="J32" s="1"/>
    </x:row>
    <x:row r="33" ht="24" customHeight="1">
      <x:c r="A33" s="1"/>
      <x:c r="B33" s="1"/>
      <x:c r="C33" s="1" t="str">
        <x:v>Interest expense</x:v>
      </x:c>
      <x:c r="D33" s="18" t="n">
        <x:f>Drivers!$D$9*Drivers!$D$10/12</x:f>
        <x:v>0.44999999999999996</x:v>
      </x:c>
      <x:c r="E33" s="18" t="n">
        <x:f>Drivers!$D$9*Drivers!$D$10/12</x:f>
        <x:v>0.44999999999999996</x:v>
      </x:c>
      <x:c r="F33" s="18" t="n">
        <x:f>Drivers!$D$9*Drivers!$D$10/12</x:f>
        <x:v>0.44999999999999996</x:v>
      </x:c>
      <x:c r="G33" s="18" t="n">
        <x:f>Drivers!$D$9*Drivers!$D$10/12</x:f>
        <x:v>0.44999999999999996</x:v>
      </x:c>
      <x:c r="H33" s="18" t="n">
        <x:f>Drivers!$D$9*Drivers!$D$10/12</x:f>
        <x:v>0.44999999999999996</x:v>
      </x:c>
      <x:c r="I33" s="18" t="n">
        <x:f>Drivers!$D$9*Drivers!$D$10/12</x:f>
        <x:v>0.44999999999999996</x:v>
      </x:c>
      <x:c r="J33" s="1"/>
    </x:row>
    <x:row r="34" ht="24" customHeight="1">
      <x:c r="A34" s="1"/>
      <x:c r="B34" s="1"/>
      <x:c r="C34" s="1" t="str">
        <x:v>Pretax income</x:v>
      </x:c>
      <x:c r="D34" s="2" t="n">
        <x:f>D32-D33</x:f>
        <x:v>2.05</x:v>
      </x:c>
      <x:c r="E34" s="2" t="n">
        <x:f>E32-E33</x:f>
        <x:v>2.05</x:v>
      </x:c>
      <x:c r="F34" s="2" t="n">
        <x:f>F32-F33</x:f>
        <x:v>2.05</x:v>
      </x:c>
      <x:c r="G34" s="2" t="n">
        <x:f>G32-G33</x:f>
        <x:v>2.05</x:v>
      </x:c>
      <x:c r="H34" s="2" t="n">
        <x:f>H32-H33</x:f>
        <x:v>2.05</x:v>
      </x:c>
      <x:c r="I34" s="2" t="n">
        <x:f>I32-I33</x:f>
        <x:v>2.05</x:v>
      </x:c>
      <x:c r="J34" s="1"/>
    </x:row>
    <x:row r="35" ht="24" customHeight="1">
      <x:c r="A35" s="1"/>
      <x:c r="B35" s="1"/>
      <x:c r="C35" s="1" t="str">
        <x:v>Income tax expense</x:v>
      </x:c>
      <x:c r="D35" s="18" t="n">
        <x:f>MAX(0,D34)*Drivers!D45</x:f>
        <x:v>0.5125</x:v>
      </x:c>
      <x:c r="E35" s="18" t="n">
        <x:f>MAX(0,E34)*Drivers!E45</x:f>
        <x:v>0.5125</x:v>
      </x:c>
      <x:c r="F35" s="18" t="n">
        <x:f>MAX(0,F34)*Drivers!F45</x:f>
        <x:v>0.5125</x:v>
      </x:c>
      <x:c r="G35" s="18" t="n">
        <x:f>MAX(0,G34)*Drivers!G45</x:f>
        <x:v>0.5125</x:v>
      </x:c>
      <x:c r="H35" s="18" t="n">
        <x:f>MAX(0,H34)*Drivers!H45</x:f>
        <x:v>0.5125</x:v>
      </x:c>
      <x:c r="I35" s="18" t="n">
        <x:f>MAX(0,I34)*Drivers!I45</x:f>
        <x:v>0.5125</x:v>
      </x:c>
      <x:c r="J35" s="1"/>
    </x:row>
    <x:row r="36" ht="24" customHeight="1">
      <x:c r="A36" s="1"/>
      <x:c r="B36" s="1"/>
      <x:c r="C36" s="24" t="str">
        <x:v>Net income</x:v>
      </x:c>
      <x:c r="D36" s="25" t="n">
        <x:f>D34-D35</x:f>
        <x:v>1.5374999999999999</x:v>
      </x:c>
      <x:c r="E36" s="25" t="n">
        <x:f>E34-E35</x:f>
        <x:v>1.5374999999999999</x:v>
      </x:c>
      <x:c r="F36" s="25" t="n">
        <x:f>F34-F35</x:f>
        <x:v>1.5374999999999999</x:v>
      </x:c>
      <x:c r="G36" s="25" t="n">
        <x:f>G34-G35</x:f>
        <x:v>1.5374999999999999</x:v>
      </x:c>
      <x:c r="H36" s="25" t="n">
        <x:f>H34-H35</x:f>
        <x:v>1.5374999999999999</x:v>
      </x:c>
      <x:c r="I36" s="25" t="n">
        <x:f>I34-I35</x:f>
        <x:v>1.5374999999999999</x:v>
      </x:c>
      <x:c r="J36" s="1"/>
    </x:row>
    <x:row r="37" ht="24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</x:row>
    <x:row r="38" ht="27" customHeight="1">
      <x:c r="A38" s="1"/>
      <x:c r="B38" s="1"/>
      <x:c r="C38" s="8" t="str">
        <x:v>BILLINGS AND COLLECTIONS</x:v>
      </x:c>
      <x:c r="D38" s="9"/>
      <x:c r="E38" s="9"/>
      <x:c r="F38" s="9"/>
      <x:c r="G38" s="9"/>
      <x:c r="H38" s="9"/>
      <x:c r="I38" s="9"/>
      <x:c r="J38" s="1"/>
    </x:row>
    <x:row r="39" ht="24" customHeight="1">
      <x:c r="A39" s="1"/>
      <x:c r="B39" s="1"/>
      <x:c r="C39" s="1" t="str">
        <x:v>Gross annual subscription billings</x:v>
      </x:c>
      <x:c r="D39" s="18" t="n">
        <x:f>(D13+D16)*Drivers!$D$23/1000000</x:f>
        <x:v>12.6</x:v>
      </x:c>
      <x:c r="E39" s="18" t="n">
        <x:f>(E13+E16)*Drivers!$D$23/1000000</x:f>
        <x:v>12.6</x:v>
      </x:c>
      <x:c r="F39" s="18" t="n">
        <x:f>(F13+F16)*Drivers!$D$23/1000000</x:f>
        <x:v>12.6</x:v>
      </x:c>
      <x:c r="G39" s="18" t="n">
        <x:f>(G13+G16)*Drivers!$D$23/1000000</x:f>
        <x:v>12.6</x:v>
      </x:c>
      <x:c r="H39" s="18" t="n">
        <x:f>(H13+H16)*Drivers!$D$23/1000000</x:f>
        <x:v>12.6</x:v>
      </x:c>
      <x:c r="I39" s="18" t="n">
        <x:f>(I13+I16)*Drivers!$D$23/1000000</x:f>
        <x:v>12.6</x:v>
      </x:c>
      <x:c r="J39" s="1"/>
    </x:row>
    <x:row r="40" ht="24" customHeight="1">
      <x:c r="A40" s="1"/>
      <x:c r="B40" s="1"/>
      <x:c r="C40" s="1" t="str">
        <x:v>Processing fees withheld from billings</x:v>
      </x:c>
      <x:c r="D40" s="18" t="n">
        <x:f>D39*Drivers!D40</x:f>
        <x:v>2.52</x:v>
      </x:c>
      <x:c r="E40" s="18" t="n">
        <x:f>E39*Drivers!E40</x:f>
        <x:v>2.52</x:v>
      </x:c>
      <x:c r="F40" s="18" t="n">
        <x:f>F39*Drivers!F40</x:f>
        <x:v>2.52</x:v>
      </x:c>
      <x:c r="G40" s="18" t="n">
        <x:f>G39*Drivers!G40</x:f>
        <x:v>2.52</x:v>
      </x:c>
      <x:c r="H40" s="18" t="n">
        <x:f>H39*Drivers!H40</x:f>
        <x:v>2.52</x:v>
      </x:c>
      <x:c r="I40" s="18" t="n">
        <x:f>I39*Drivers!I40</x:f>
        <x:v>2.52</x:v>
      </x:c>
      <x:c r="J40" s="1"/>
    </x:row>
    <x:row r="41" ht="24" customHeight="1">
      <x:c r="A41" s="1"/>
      <x:c r="B41" s="1"/>
      <x:c r="C41" s="24" t="str">
        <x:v>Net subscription cash receipts</x:v>
      </x:c>
      <x:c r="D41" s="25" t="n">
        <x:f>D39-D40</x:f>
        <x:v>10.08</x:v>
      </x:c>
      <x:c r="E41" s="25" t="n">
        <x:f>E39-E40</x:f>
        <x:v>10.08</x:v>
      </x:c>
      <x:c r="F41" s="25" t="n">
        <x:f>F39-F40</x:f>
        <x:v>10.08</x:v>
      </x:c>
      <x:c r="G41" s="25" t="n">
        <x:f>G39-G40</x:f>
        <x:v>10.08</x:v>
      </x:c>
      <x:c r="H41" s="25" t="n">
        <x:f>H39-H40</x:f>
        <x:v>10.08</x:v>
      </x:c>
      <x:c r="I41" s="25" t="n">
        <x:f>I39-I40</x:f>
        <x:v>10.08</x:v>
      </x:c>
      <x:c r="J41" s="1"/>
    </x:row>
    <x:row r="42" ht="24" customHeight="1">
      <x:c r="A42" s="1"/>
      <x:c r="B42" s="1"/>
      <x:c r="C42" s="24" t="str">
        <x:v>Paid-account roll-forward check (zero)</x:v>
      </x:c>
      <x:c r="D42" s="25" t="n">
        <x:f>D17-(D11-D12+D13+D16)</x:f>
        <x:v>0</x:v>
      </x:c>
      <x:c r="E42" s="25" t="n">
        <x:f>E17-(E11-E12+E13+E16)</x:f>
        <x:v>0</x:v>
      </x:c>
      <x:c r="F42" s="25" t="n">
        <x:f>F17-(F11-F12+F13+F16)</x:f>
        <x:v>0</x:v>
      </x:c>
      <x:c r="G42" s="25" t="n">
        <x:f>G17-(G11-G12+G13+G16)</x:f>
        <x:v>0</x:v>
      </x:c>
      <x:c r="H42" s="25" t="n">
        <x:f>H17-(H11-H12+H13+H16)</x:f>
        <x:v>0</x:v>
      </x:c>
      <x:c r="I42" s="25" t="n">
        <x:f>I17-(I11-I12+I13+I16)</x:f>
        <x:v>0</x:v>
      </x:c>
      <x:c r="J42" s="1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4" customHeight="1">
      <x:c r="A44" s="1"/>
      <x:c r="B44" s="1"/>
      <x:c r="C44" s="1" t="str">
        <x:v>Forecast only. Account definitions and trial/renewal notice duties are in agreement C04.</x:v>
      </x:c>
      <x:c r="D44" s="2"/>
      <x:c r="E44" s="2"/>
      <x:c r="F44" s="2"/>
      <x:c r="G44" s="2"/>
      <x:c r="H44" s="2"/>
      <x:c r="I44" s="2"/>
      <x:c r="J44" s="1"/>
    </x:row>
    <x:row r="45" ht="24" customHeight="1">
      <x:c r="A45" s="1"/>
      <x:c r="B45" s="1"/>
      <x:c r="C45" s="1" t="str">
        <x:v>Active learners include free users; growing usage does not establish growing paid conversion.</x:v>
      </x:c>
      <x:c r="D45" s="2"/>
      <x:c r="E45" s="2"/>
      <x:c r="F45" s="2"/>
      <x:c r="G45" s="2"/>
      <x:c r="H45" s="2"/>
      <x:c r="I45" s="2"/>
      <x:c r="J45" s="1"/>
    </x:row>
    <x:row r="46" ht="24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4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4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4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conditionalFormatting sqref="D42:I42">
    <x:cfRule type="expression" dxfId="3" priority="1">
      <x:formula>ABS(D42)&gt;0.000001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3" customHeight="1">
      <x:c r="A2" s="1"/>
      <x:c r="B2" s="1"/>
      <x:c r="C2" s="3" t="str">
        <x:v>04 | Cash and Balance Sheet</x:v>
      </x:c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 t="str">
        <x:v>SYNTHETIC DEMO | DUO-MODEL-2026-10-01 | Available October 1, 2026</x:v>
      </x:c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 t="str">
        <x:v>Invented borrower and financials; no affiliation with Duolingo Inc is asserted.</x:v>
      </x:c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 t="str">
        <x:v>USD millions unless stated. Blue = inputs; green = sheet links; dark = formulas.</x:v>
      </x:c>
      <x:c r="D6" s="1"/>
      <x:c r="E6" s="1"/>
      <x:c r="F6" s="1"/>
      <x:c r="G6" s="1"/>
      <x:c r="H6" s="1"/>
      <x:c r="I6" s="1"/>
      <x:c r="J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 CASH AND BALANCE SHEET</x:v>
      </x:c>
      <x:c r="D8" s="9"/>
      <x:c r="E8" s="9"/>
      <x:c r="F8" s="9"/>
      <x:c r="G8" s="9"/>
      <x:c r="H8" s="9"/>
      <x:c r="I8" s="9"/>
      <x:c r="J8" s="1"/>
    </x:row>
    <x:row r="9" ht="24" customHeight="1">
      <x:c r="A9" s="1"/>
      <x:c r="B9" s="1"/>
      <x:c r="C9" s="1" t="str">
        <x:v>Month ending</x:v>
      </x:c>
      <x:c r="D9" s="17" t="n">
        <x:f>Drivers!D33</x:f>
        <x:v>46326</x:v>
      </x:c>
      <x:c r="E9" s="17" t="n">
        <x:f>Drivers!E33</x:f>
        <x:v>46356</x:v>
      </x:c>
      <x:c r="F9" s="17" t="n">
        <x:f>Drivers!F33</x:f>
        <x:v>46387</x:v>
      </x:c>
      <x:c r="G9" s="17" t="n">
        <x:f>Drivers!G33</x:f>
        <x:v>46418</x:v>
      </x:c>
      <x:c r="H9" s="17" t="n">
        <x:f>Drivers!H33</x:f>
        <x:v>46446</x:v>
      </x:c>
      <x:c r="I9" s="17" t="n">
        <x:f>Drivers!I33</x:f>
        <x:v>46477</x:v>
      </x:c>
      <x:c r="J9" s="1"/>
    </x:row>
    <x:row r="10" ht="27" customHeight="1">
      <x:c r="A10" s="1"/>
      <x:c r="B10" s="1"/>
      <x:c r="C10" s="8" t="str">
        <x:v>CASH FLOW</x:v>
      </x:c>
      <x:c r="D10" s="9"/>
      <x:c r="E10" s="9"/>
      <x:c r="F10" s="9"/>
      <x:c r="G10" s="9"/>
      <x:c r="H10" s="9"/>
      <x:c r="I10" s="9"/>
      <x:c r="J10" s="1"/>
    </x:row>
    <x:row r="11" ht="24" customHeight="1">
      <x:c r="A11" s="1"/>
      <x:c r="B11" s="1"/>
      <x:c r="C11" s="1" t="str">
        <x:v>Opening Unrestricted Cash</x:v>
      </x:c>
      <x:c r="D11" s="18" t="n">
        <x:f>'Opening Position'!D14</x:f>
        <x:v>38</x:v>
      </x:c>
      <x:c r="E11" s="2" t="n">
        <x:f>D20</x:f>
        <x:v>39.2375</x:v>
      </x:c>
      <x:c r="F11" s="2" t="n">
        <x:f>E20</x:f>
        <x:v>40.474999999999994</x:v>
      </x:c>
      <x:c r="G11" s="2" t="n">
        <x:f>F20</x:f>
        <x:v>41.71249999999999</x:v>
      </x:c>
      <x:c r="H11" s="2" t="n">
        <x:f>G20</x:f>
        <x:v>42.94999999999999</x:v>
      </x:c>
      <x:c r="I11" s="2" t="n">
        <x:f>H20</x:f>
        <x:v>44.187499999999986</x:v>
      </x:c>
      <x:c r="J11" s="1"/>
    </x:row>
    <x:row r="12" ht="24" customHeight="1">
      <x:c r="A12" s="1"/>
      <x:c r="B12" s="1"/>
      <x:c r="C12" s="1" t="str">
        <x:v>Net subscription cash receipts</x:v>
      </x:c>
      <x:c r="D12" s="18" t="n">
        <x:f>'Operating Forecast'!D41</x:f>
        <x:v>10.08</x:v>
      </x:c>
      <x:c r="E12" s="18" t="n">
        <x:f>'Operating Forecast'!E41</x:f>
        <x:v>10.08</x:v>
      </x:c>
      <x:c r="F12" s="18" t="n">
        <x:f>'Operating Forecast'!F41</x:f>
        <x:v>10.08</x:v>
      </x:c>
      <x:c r="G12" s="18" t="n">
        <x:f>'Operating Forecast'!G41</x:f>
        <x:v>10.08</x:v>
      </x:c>
      <x:c r="H12" s="18" t="n">
        <x:f>'Operating Forecast'!H41</x:f>
        <x:v>10.08</x:v>
      </x:c>
      <x:c r="I12" s="18" t="n">
        <x:f>'Operating Forecast'!I41</x:f>
        <x:v>10.08</x:v>
      </x:c>
      <x:c r="J12" s="1"/>
    </x:row>
    <x:row r="13" ht="24" customHeight="1">
      <x:c r="A13" s="1"/>
      <x:c r="B13" s="1"/>
      <x:c r="C13" s="1" t="str">
        <x:v>Other cash receipts</x:v>
      </x:c>
      <x:c r="D13" s="18" t="n">
        <x:f>Drivers!D39</x:f>
        <x:v>3.15</x:v>
      </x:c>
      <x:c r="E13" s="18" t="n">
        <x:f>Drivers!E39</x:f>
        <x:v>3.15</x:v>
      </x:c>
      <x:c r="F13" s="18" t="n">
        <x:f>Drivers!F39</x:f>
        <x:v>3.15</x:v>
      </x:c>
      <x:c r="G13" s="18" t="n">
        <x:f>Drivers!G39</x:f>
        <x:v>3.15</x:v>
      </x:c>
      <x:c r="H13" s="18" t="n">
        <x:f>Drivers!H39</x:f>
        <x:v>3.15</x:v>
      </x:c>
      <x:c r="I13" s="18" t="n">
        <x:f>Drivers!I39</x:f>
        <x:v>3.15</x:v>
      </x:c>
      <x:c r="J13" s="1"/>
    </x:row>
    <x:row r="14" ht="24" customHeight="1">
      <x:c r="A14" s="1"/>
      <x:c r="B14" s="1"/>
      <x:c r="C14" s="1" t="str">
        <x:v>Hosting and AI-service cash payments</x:v>
      </x:c>
      <x:c r="D14" s="18" t="n">
        <x:f>Drivers!D41</x:f>
        <x:v>3.15</x:v>
      </x:c>
      <x:c r="E14" s="18" t="n">
        <x:f>Drivers!E41</x:f>
        <x:v>3.15</x:v>
      </x:c>
      <x:c r="F14" s="18" t="n">
        <x:f>Drivers!F41</x:f>
        <x:v>3.15</x:v>
      </x:c>
      <x:c r="G14" s="18" t="n">
        <x:f>Drivers!G41</x:f>
        <x:v>3.15</x:v>
      </x:c>
      <x:c r="H14" s="18" t="n">
        <x:f>Drivers!H41</x:f>
        <x:v>3.15</x:v>
      </x:c>
      <x:c r="I14" s="18" t="n">
        <x:f>Drivers!I41</x:f>
        <x:v>3.15</x:v>
      </x:c>
      <x:c r="J14" s="1"/>
    </x:row>
    <x:row r="15" ht="24" customHeight="1">
      <x:c r="A15" s="1"/>
      <x:c r="B15" s="1"/>
      <x:c r="C15" s="1" t="str">
        <x:v>Other operating cash payments</x:v>
      </x:c>
      <x:c r="D15" s="18" t="n">
        <x:f>Drivers!D42</x:f>
        <x:v>7.08</x:v>
      </x:c>
      <x:c r="E15" s="18" t="n">
        <x:f>Drivers!E42</x:f>
        <x:v>7.08</x:v>
      </x:c>
      <x:c r="F15" s="18" t="n">
        <x:f>Drivers!F42</x:f>
        <x:v>7.08</x:v>
      </x:c>
      <x:c r="G15" s="18" t="n">
        <x:f>Drivers!G42</x:f>
        <x:v>7.08</x:v>
      </x:c>
      <x:c r="H15" s="18" t="n">
        <x:f>Drivers!H42</x:f>
        <x:v>7.08</x:v>
      </x:c>
      <x:c r="I15" s="18" t="n">
        <x:f>Drivers!I42</x:f>
        <x:v>7.08</x:v>
      </x:c>
      <x:c r="J15" s="1"/>
    </x:row>
    <x:row r="16" ht="24" customHeight="1">
      <x:c r="A16" s="1"/>
      <x:c r="B16" s="1"/>
      <x:c r="C16" s="1" t="str">
        <x:v>Cash interest</x:v>
      </x:c>
      <x:c r="D16" s="18" t="n">
        <x:f>'Operating Forecast'!D33</x:f>
        <x:v>0.44999999999999996</x:v>
      </x:c>
      <x:c r="E16" s="18" t="n">
        <x:f>'Operating Forecast'!E33</x:f>
        <x:v>0.44999999999999996</x:v>
      </x:c>
      <x:c r="F16" s="18" t="n">
        <x:f>'Operating Forecast'!F33</x:f>
        <x:v>0.44999999999999996</x:v>
      </x:c>
      <x:c r="G16" s="18" t="n">
        <x:f>'Operating Forecast'!G33</x:f>
        <x:v>0.44999999999999996</x:v>
      </x:c>
      <x:c r="H16" s="18" t="n">
        <x:f>'Operating Forecast'!H33</x:f>
        <x:v>0.44999999999999996</x:v>
      </x:c>
      <x:c r="I16" s="18" t="n">
        <x:f>'Operating Forecast'!I33</x:f>
        <x:v>0.44999999999999996</x:v>
      </x:c>
      <x:c r="J16" s="1"/>
    </x:row>
    <x:row r="17" ht="24" customHeight="1">
      <x:c r="A17" s="1"/>
      <x:c r="B17" s="1"/>
      <x:c r="C17" s="1" t="str">
        <x:v>Estimated cash-tax installments</x:v>
      </x:c>
      <x:c r="D17" s="18" t="n">
        <x:f>MAX(0,('Opening Position'!$D$37/12-Drivers!$D$43-Drivers!$D$9*Drivers!$D$10/12))*Drivers!$D$45</x:f>
        <x:v>0.5125</x:v>
      </x:c>
      <x:c r="E17" s="18" t="n">
        <x:f>MAX(0,('Opening Position'!$D$37/12-Drivers!$D$43-Drivers!$D$9*Drivers!$D$10/12))*Drivers!$D$45</x:f>
        <x:v>0.5125</x:v>
      </x:c>
      <x:c r="F17" s="18" t="n">
        <x:f>MAX(0,('Opening Position'!$D$37/12-Drivers!$D$43-Drivers!$D$9*Drivers!$D$10/12))*Drivers!$D$45</x:f>
        <x:v>0.5125</x:v>
      </x:c>
      <x:c r="G17" s="18" t="n">
        <x:f>MAX(0,('Opening Position'!$D$37/12-Drivers!$D$43-Drivers!$D$9*Drivers!$D$10/12))*Drivers!$D$45</x:f>
        <x:v>0.5125</x:v>
      </x:c>
      <x:c r="H17" s="18" t="n">
        <x:f>MAX(0,('Opening Position'!$D$37/12-Drivers!$D$43-Drivers!$D$9*Drivers!$D$10/12))*Drivers!$D$45</x:f>
        <x:v>0.5125</x:v>
      </x:c>
      <x:c r="I17" s="18" t="n">
        <x:f>MAX(0,('Opening Position'!$D$37/12-Drivers!$D$43-Drivers!$D$9*Drivers!$D$10/12))*Drivers!$D$45</x:f>
        <x:v>0.5125</x:v>
      </x:c>
      <x:c r="J17" s="1"/>
    </x:row>
    <x:row r="18" ht="24" customHeight="1">
      <x:c r="A18" s="1"/>
      <x:c r="B18" s="1"/>
      <x:c r="C18" s="1" t="str">
        <x:v>Capital expenditure</x:v>
      </x:c>
      <x:c r="D18" s="18" t="n">
        <x:f>Drivers!D44</x:f>
        <x:v>0.8</x:v>
      </x:c>
      <x:c r="E18" s="18" t="n">
        <x:f>Drivers!E44</x:f>
        <x:v>0.8</x:v>
      </x:c>
      <x:c r="F18" s="18" t="n">
        <x:f>Drivers!F44</x:f>
        <x:v>0.8</x:v>
      </x:c>
      <x:c r="G18" s="18" t="n">
        <x:f>Drivers!G44</x:f>
        <x:v>0.8</x:v>
      </x:c>
      <x:c r="H18" s="18" t="n">
        <x:f>Drivers!H44</x:f>
        <x:v>0.8</x:v>
      </x:c>
      <x:c r="I18" s="18" t="n">
        <x:f>Drivers!I44</x:f>
        <x:v>0.8</x:v>
      </x:c>
      <x:c r="J18" s="1"/>
    </x:row>
    <x:row r="19" ht="24" customHeight="1">
      <x:c r="A19" s="1"/>
      <x:c r="B19" s="1"/>
      <x:c r="C19" s="24" t="str">
        <x:v>Net cash movement</x:v>
      </x:c>
      <x:c r="D19" s="25" t="n">
        <x:f>SUM(D12:D13)-SUM(D14:D18)</x:f>
        <x:v>1.2375000000000007</x:v>
      </x:c>
      <x:c r="E19" s="25" t="n">
        <x:f>SUM(E12:E13)-SUM(E14:E18)</x:f>
        <x:v>1.2375000000000007</x:v>
      </x:c>
      <x:c r="F19" s="25" t="n">
        <x:f>SUM(F12:F13)-SUM(F14:F18)</x:f>
        <x:v>1.2375000000000007</x:v>
      </x:c>
      <x:c r="G19" s="25" t="n">
        <x:f>SUM(G12:G13)-SUM(G14:G18)</x:f>
        <x:v>1.2375000000000007</x:v>
      </x:c>
      <x:c r="H19" s="25" t="n">
        <x:f>SUM(H12:H13)-SUM(H14:H18)</x:f>
        <x:v>1.2375000000000007</x:v>
      </x:c>
      <x:c r="I19" s="25" t="n">
        <x:f>SUM(I12:I13)-SUM(I14:I18)</x:f>
        <x:v>1.2375000000000007</x:v>
      </x:c>
      <x:c r="J19" s="1"/>
    </x:row>
    <x:row r="20" ht="24" customHeight="1">
      <x:c r="A20" s="1"/>
      <x:c r="B20" s="1"/>
      <x:c r="C20" s="24" t="str">
        <x:v>Ending Unrestricted Cash</x:v>
      </x:c>
      <x:c r="D20" s="25" t="n">
        <x:f>D11+D19</x:f>
        <x:v>39.2375</x:v>
      </x:c>
      <x:c r="E20" s="25" t="n">
        <x:f>E11+E19</x:f>
        <x:v>40.474999999999994</x:v>
      </x:c>
      <x:c r="F20" s="25" t="n">
        <x:f>F11+F19</x:f>
        <x:v>41.71249999999999</x:v>
      </x:c>
      <x:c r="G20" s="25" t="n">
        <x:f>G11+G19</x:f>
        <x:v>42.94999999999999</x:v>
      </x:c>
      <x:c r="H20" s="25" t="n">
        <x:f>H11+H19</x:f>
        <x:v>44.187499999999986</x:v>
      </x:c>
      <x:c r="I20" s="25" t="n">
        <x:f>I11+I19</x:f>
        <x:v>45.42499999999998</x:v>
      </x:c>
      <x:c r="J20" s="1"/>
    </x:row>
    <x:row r="21" ht="24" customHeight="1">
      <x:c r="A21" s="1"/>
      <x:c r="B21" s="1"/>
      <x:c r="C21" s="1" t="str">
        <x:v>C01 actual cash floor (reference)</x:v>
      </x:c>
      <x:c r="D21" s="18" t="n">
        <x:f>Drivers!$D$11</x:f>
        <x:v>25</x:v>
      </x:c>
      <x:c r="E21" s="18" t="n">
        <x:f>Drivers!$D$11</x:f>
        <x:v>25</x:v>
      </x:c>
      <x:c r="F21" s="18" t="n">
        <x:f>Drivers!$D$11</x:f>
        <x:v>25</x:v>
      </x:c>
      <x:c r="G21" s="18" t="n">
        <x:f>Drivers!$D$11</x:f>
        <x:v>25</x:v>
      </x:c>
      <x:c r="H21" s="18" t="n">
        <x:f>Drivers!$D$11</x:f>
        <x:v>25</x:v>
      </x:c>
      <x:c r="I21" s="18" t="n">
        <x:f>Drivers!$D$11</x:f>
        <x:v>25</x:v>
      </x:c>
      <x:c r="J21" s="1"/>
    </x:row>
    <x:row r="22" ht="24" customHeight="1">
      <x:c r="A22" s="1"/>
      <x:c r="B22" s="1"/>
      <x:c r="C22" s="24" t="str">
        <x:v>Projected cash headroom</x:v>
      </x:c>
      <x:c r="D22" s="25" t="n">
        <x:f>D20-D21</x:f>
        <x:v>14.237499999999997</x:v>
      </x:c>
      <x:c r="E22" s="25" t="n">
        <x:f>E20-E21</x:f>
        <x:v>15.474999999999994</x:v>
      </x:c>
      <x:c r="F22" s="25" t="n">
        <x:f>F20-F21</x:f>
        <x:v>16.71249999999999</x:v>
      </x:c>
      <x:c r="G22" s="25" t="n">
        <x:f>G20-G21</x:f>
        <x:v>17.94999999999999</x:v>
      </x:c>
      <x:c r="H22" s="25" t="n">
        <x:f>H20-H21</x:f>
        <x:v>19.187499999999986</x:v>
      </x:c>
      <x:c r="I22" s="25" t="n">
        <x:f>I20-I21</x:f>
        <x:v>20.424999999999983</x:v>
      </x:c>
      <x:c r="J22" s="1"/>
    </x:row>
    <x:row r="23" ht="24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1"/>
    </x:row>
    <x:row r="24" ht="27" customHeight="1">
      <x:c r="A24" s="1"/>
      <x:c r="B24" s="1"/>
      <x:c r="C24" s="8" t="str">
        <x:v>BALANCE SHEET</x:v>
      </x:c>
      <x:c r="D24" s="9"/>
      <x:c r="E24" s="9"/>
      <x:c r="F24" s="9"/>
      <x:c r="G24" s="9"/>
      <x:c r="H24" s="9"/>
      <x:c r="I24" s="9"/>
      <x:c r="J24" s="1"/>
    </x:row>
    <x:row r="25" ht="24" customHeight="1">
      <x:c r="A25" s="1"/>
      <x:c r="B25" s="1"/>
      <x:c r="C25" s="1" t="str">
        <x:v>Unrestricted bank cash</x:v>
      </x:c>
      <x:c r="D25" s="2" t="n">
        <x:f>D20</x:f>
        <x:v>39.2375</x:v>
      </x:c>
      <x:c r="E25" s="2" t="n">
        <x:f>E20</x:f>
        <x:v>40.474999999999994</x:v>
      </x:c>
      <x:c r="F25" s="2" t="n">
        <x:f>F20</x:f>
        <x:v>41.71249999999999</x:v>
      </x:c>
      <x:c r="G25" s="2" t="n">
        <x:f>G20</x:f>
        <x:v>42.94999999999999</x:v>
      </x:c>
      <x:c r="H25" s="2" t="n">
        <x:f>H20</x:f>
        <x:v>44.187499999999986</x:v>
      </x:c>
      <x:c r="I25" s="2" t="n">
        <x:f>I20</x:f>
        <x:v>45.42499999999998</x:v>
      </x:c>
      <x:c r="J25" s="1"/>
    </x:row>
    <x:row r="26" ht="24" customHeight="1">
      <x:c r="A26" s="1"/>
      <x:c r="B26" s="1"/>
      <x:c r="C26" s="1" t="str">
        <x:v>Restricted reserve</x:v>
      </x:c>
      <x:c r="D26" s="18" t="n">
        <x:f>Drivers!$D$15</x:f>
        <x:v>4</x:v>
      </x:c>
      <x:c r="E26" s="18" t="n">
        <x:f>Drivers!$D$15</x:f>
        <x:v>4</x:v>
      </x:c>
      <x:c r="F26" s="18" t="n">
        <x:f>Drivers!$D$15</x:f>
        <x:v>4</x:v>
      </x:c>
      <x:c r="G26" s="18" t="n">
        <x:f>Drivers!$D$15</x:f>
        <x:v>4</x:v>
      </x:c>
      <x:c r="H26" s="18" t="n">
        <x:f>Drivers!$D$15</x:f>
        <x:v>4</x:v>
      </x:c>
      <x:c r="I26" s="18" t="n">
        <x:f>Drivers!$D$15</x:f>
        <x:v>4</x:v>
      </x:c>
      <x:c r="J26" s="1"/>
    </x:row>
    <x:row r="27" ht="24" customHeight="1">
      <x:c r="A27" s="1"/>
      <x:c r="B27" s="1"/>
      <x:c r="C27" s="1" t="str">
        <x:v>Processor settlement receivables</x:v>
      </x:c>
      <x:c r="D27" s="18" t="n">
        <x:f>Drivers!$D$16</x:f>
        <x:v>6</x:v>
      </x:c>
      <x:c r="E27" s="18" t="n">
        <x:f>Drivers!$D$16</x:f>
        <x:v>6</x:v>
      </x:c>
      <x:c r="F27" s="18" t="n">
        <x:f>Drivers!$D$16</x:f>
        <x:v>6</x:v>
      </x:c>
      <x:c r="G27" s="18" t="n">
        <x:f>Drivers!$D$16</x:f>
        <x:v>6</x:v>
      </x:c>
      <x:c r="H27" s="18" t="n">
        <x:f>Drivers!$D$16</x:f>
        <x:v>6</x:v>
      </x:c>
      <x:c r="I27" s="18" t="n">
        <x:f>Drivers!$D$16</x:f>
        <x:v>6</x:v>
      </x:c>
      <x:c r="J27" s="1"/>
    </x:row>
    <x:row r="28" ht="24" customHeight="1">
      <x:c r="A28" s="1"/>
      <x:c r="B28" s="1"/>
      <x:c r="C28" s="1" t="str">
        <x:v>Deferred processing costs</x:v>
      </x:c>
      <x:c r="D28" s="18" t="n">
        <x:f>Drivers!$D$17+'Operating Forecast'!D40-'Operating Forecast'!D27</x:f>
        <x:v>15.120000000000001</x:v>
      </x:c>
      <x:c r="E28" s="18" t="n">
        <x:f>D28+'Operating Forecast'!E40-'Operating Forecast'!E27</x:f>
        <x:v>15.120000000000001</x:v>
      </x:c>
      <x:c r="F28" s="18" t="n">
        <x:f>E28+'Operating Forecast'!F40-'Operating Forecast'!F27</x:f>
        <x:v>15.120000000000001</x:v>
      </x:c>
      <x:c r="G28" s="18" t="n">
        <x:f>F28+'Operating Forecast'!G40-'Operating Forecast'!G27</x:f>
        <x:v>15.120000000000001</x:v>
      </x:c>
      <x:c r="H28" s="18" t="n">
        <x:f>G28+'Operating Forecast'!H40-'Operating Forecast'!H27</x:f>
        <x:v>15.120000000000001</x:v>
      </x:c>
      <x:c r="I28" s="18" t="n">
        <x:f>H28+'Operating Forecast'!I40-'Operating Forecast'!I27</x:f>
        <x:v>15.120000000000001</x:v>
      </x:c>
      <x:c r="J28" s="1"/>
    </x:row>
    <x:row r="29" ht="24" customHeight="1">
      <x:c r="A29" s="1"/>
      <x:c r="B29" s="1"/>
      <x:c r="C29" s="1" t="str">
        <x:v>Net fixed and intangible assets</x:v>
      </x:c>
      <x:c r="D29" s="18" t="n">
        <x:f>Drivers!$D$18+D18-'Operating Forecast'!D31</x:f>
        <x:v>100.3</x:v>
      </x:c>
      <x:c r="E29" s="18" t="n">
        <x:f>D29+E18-'Operating Forecast'!E31</x:f>
        <x:v>100.6</x:v>
      </x:c>
      <x:c r="F29" s="18" t="n">
        <x:f>E29+F18-'Operating Forecast'!F31</x:f>
        <x:v>100.89999999999999</x:v>
      </x:c>
      <x:c r="G29" s="18" t="n">
        <x:f>F29+G18-'Operating Forecast'!G31</x:f>
        <x:v>101.19999999999999</x:v>
      </x:c>
      <x:c r="H29" s="18" t="n">
        <x:f>G29+H18-'Operating Forecast'!H31</x:f>
        <x:v>101.49999999999999</x:v>
      </x:c>
      <x:c r="I29" s="18" t="n">
        <x:f>H29+I18-'Operating Forecast'!I31</x:f>
        <x:v>101.79999999999998</x:v>
      </x:c>
      <x:c r="J29" s="1"/>
    </x:row>
    <x:row r="30" ht="24" customHeight="1">
      <x:c r="A30" s="1"/>
      <x:c r="B30" s="1"/>
      <x:c r="C30" s="1" t="str">
        <x:v>Income-tax receivable</x:v>
      </x:c>
      <x:c r="D30" s="2" t="n">
        <x:f>MAX(0,-D50)</x:f>
        <x:v>0</x:v>
      </x:c>
      <x:c r="E30" s="2" t="n">
        <x:f>MAX(0,-E50)</x:f>
        <x:v>0</x:v>
      </x:c>
      <x:c r="F30" s="2" t="n">
        <x:f>MAX(0,-F50)</x:f>
        <x:v>0</x:v>
      </x:c>
      <x:c r="G30" s="2" t="n">
        <x:f>MAX(0,-G50)</x:f>
        <x:v>0</x:v>
      </x:c>
      <x:c r="H30" s="2" t="n">
        <x:f>MAX(0,-H50)</x:f>
        <x:v>0</x:v>
      </x:c>
      <x:c r="I30" s="2" t="n">
        <x:f>MAX(0,-I50)</x:f>
        <x:v>0</x:v>
      </x:c>
      <x:c r="J30" s="1"/>
    </x:row>
    <x:row r="31" ht="24" customHeight="1">
      <x:c r="A31" s="1"/>
      <x:c r="B31" s="1"/>
      <x:c r="C31" s="24" t="str">
        <x:v>Total assets</x:v>
      </x:c>
      <x:c r="D31" s="25" t="n">
        <x:f>SUM(D25:D30)</x:f>
        <x:v>164.6575</x:v>
      </x:c>
      <x:c r="E31" s="25" t="n">
        <x:f>SUM(E25:E30)</x:f>
        <x:v>166.195</x:v>
      </x:c>
      <x:c r="F31" s="25" t="n">
        <x:f>SUM(F25:F30)</x:f>
        <x:v>167.7325</x:v>
      </x:c>
      <x:c r="G31" s="25" t="n">
        <x:f>SUM(G25:G30)</x:f>
        <x:v>169.26999999999998</x:v>
      </x:c>
      <x:c r="H31" s="25" t="n">
        <x:f>SUM(H25:H30)</x:f>
        <x:v>170.80749999999998</x:v>
      </x:c>
      <x:c r="I31" s="25" t="n">
        <x:f>SUM(I25:I30)</x:f>
        <x:v>172.34499999999997</x:v>
      </x:c>
      <x:c r="J31" s="1"/>
    </x:row>
    <x:row r="32" ht="24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4" customHeight="1">
      <x:c r="A33" s="1"/>
      <x:c r="B33" s="1"/>
      <x:c r="C33" s="1" t="str">
        <x:v>Payables and operating accruals</x:v>
      </x:c>
      <x:c r="D33" s="18" t="n">
        <x:f>Drivers!$D$19</x:f>
        <x:v>7</x:v>
      </x:c>
      <x:c r="E33" s="18" t="n">
        <x:f>Drivers!$D$19</x:f>
        <x:v>7</x:v>
      </x:c>
      <x:c r="F33" s="18" t="n">
        <x:f>Drivers!$D$19</x:f>
        <x:v>7</x:v>
      </x:c>
      <x:c r="G33" s="18" t="n">
        <x:f>Drivers!$D$19</x:f>
        <x:v>7</x:v>
      </x:c>
      <x:c r="H33" s="18" t="n">
        <x:f>Drivers!$D$19</x:f>
        <x:v>7</x:v>
      </x:c>
      <x:c r="I33" s="18" t="n">
        <x:f>Drivers!$D$19</x:f>
        <x:v>7</x:v>
      </x:c>
      <x:c r="J33" s="1"/>
    </x:row>
    <x:row r="34" ht="24" customHeight="1">
      <x:c r="A34" s="1"/>
      <x:c r="B34" s="1"/>
      <x:c r="C34" s="1" t="str">
        <x:v>Deferred subscription revenue</x:v>
      </x:c>
      <x:c r="D34" s="18" t="n">
        <x:f>Drivers!$D$20+'Operating Forecast'!D39-'Operating Forecast'!D24</x:f>
        <x:v>75.6</x:v>
      </x:c>
      <x:c r="E34" s="18" t="n">
        <x:f>D34+'Operating Forecast'!E39-'Operating Forecast'!E24</x:f>
        <x:v>75.6</x:v>
      </x:c>
      <x:c r="F34" s="18" t="n">
        <x:f>E34+'Operating Forecast'!F39-'Operating Forecast'!F24</x:f>
        <x:v>75.6</x:v>
      </x:c>
      <x:c r="G34" s="18" t="n">
        <x:f>F34+'Operating Forecast'!G39-'Operating Forecast'!G24</x:f>
        <x:v>75.6</x:v>
      </x:c>
      <x:c r="H34" s="18" t="n">
        <x:f>G34+'Operating Forecast'!H39-'Operating Forecast'!H24</x:f>
        <x:v>75.6</x:v>
      </x:c>
      <x:c r="I34" s="18" t="n">
        <x:f>H34+'Operating Forecast'!I39-'Operating Forecast'!I24</x:f>
        <x:v>75.6</x:v>
      </x:c>
      <x:c r="J34" s="1"/>
    </x:row>
    <x:row r="35" ht="24" customHeight="1">
      <x:c r="A35" s="1"/>
      <x:c r="B35" s="1"/>
      <x:c r="C35" s="1" t="str">
        <x:v>Debt principal</x:v>
      </x:c>
      <x:c r="D35" s="18" t="n">
        <x:f>Drivers!$D$9</x:f>
        <x:v>60</x:v>
      </x:c>
      <x:c r="E35" s="18" t="n">
        <x:f>Drivers!$D$9</x:f>
        <x:v>60</x:v>
      </x:c>
      <x:c r="F35" s="18" t="n">
        <x:f>Drivers!$D$9</x:f>
        <x:v>60</x:v>
      </x:c>
      <x:c r="G35" s="18" t="n">
        <x:f>Drivers!$D$9</x:f>
        <x:v>60</x:v>
      </x:c>
      <x:c r="H35" s="18" t="n">
        <x:f>Drivers!$D$9</x:f>
        <x:v>60</x:v>
      </x:c>
      <x:c r="I35" s="18" t="n">
        <x:f>Drivers!$D$9</x:f>
        <x:v>60</x:v>
      </x:c>
      <x:c r="J35" s="1"/>
    </x:row>
    <x:row r="36" ht="24" customHeight="1">
      <x:c r="A36" s="1"/>
      <x:c r="B36" s="1"/>
      <x:c r="C36" s="1" t="str">
        <x:v>Income-tax payable</x:v>
      </x:c>
      <x:c r="D36" s="2" t="n">
        <x:f>MAX(0,D50)</x:f>
        <x:v>0</x:v>
      </x:c>
      <x:c r="E36" s="2" t="n">
        <x:f>MAX(0,E50)</x:f>
        <x:v>0</x:v>
      </x:c>
      <x:c r="F36" s="2" t="n">
        <x:f>MAX(0,F50)</x:f>
        <x:v>0</x:v>
      </x:c>
      <x:c r="G36" s="2" t="n">
        <x:f>MAX(0,G50)</x:f>
        <x:v>0</x:v>
      </x:c>
      <x:c r="H36" s="2" t="n">
        <x:f>MAX(0,H50)</x:f>
        <x:v>0</x:v>
      </x:c>
      <x:c r="I36" s="2" t="n">
        <x:f>MAX(0,I50)</x:f>
        <x:v>0</x:v>
      </x:c>
      <x:c r="J36" s="1"/>
    </x:row>
    <x:row r="37" ht="24" customHeight="1">
      <x:c r="A37" s="1"/>
      <x:c r="B37" s="1"/>
      <x:c r="C37" s="1" t="str">
        <x:v>Equity</x:v>
      </x:c>
      <x:c r="D37" s="18" t="n">
        <x:f>Drivers!$D$21+'Operating Forecast'!D36</x:f>
        <x:v>22.0575</x:v>
      </x:c>
      <x:c r="E37" s="18" t="n">
        <x:f>D37+'Operating Forecast'!E36</x:f>
        <x:v>23.595000000000002</x:v>
      </x:c>
      <x:c r="F37" s="18" t="n">
        <x:f>E37+'Operating Forecast'!F36</x:f>
        <x:v>25.132500000000004</x:v>
      </x:c>
      <x:c r="G37" s="18" t="n">
        <x:f>F37+'Operating Forecast'!G36</x:f>
        <x:v>26.670000000000005</x:v>
      </x:c>
      <x:c r="H37" s="18" t="n">
        <x:f>G37+'Operating Forecast'!H36</x:f>
        <x:v>28.207500000000007</x:v>
      </x:c>
      <x:c r="I37" s="18" t="n">
        <x:f>H37+'Operating Forecast'!I36</x:f>
        <x:v>29.745000000000008</x:v>
      </x:c>
      <x:c r="J37" s="1"/>
    </x:row>
    <x:row r="38" ht="24" customHeight="1">
      <x:c r="A38" s="1"/>
      <x:c r="B38" s="1"/>
      <x:c r="C38" s="24" t="str">
        <x:v>Liabilities and equity</x:v>
      </x:c>
      <x:c r="D38" s="25" t="n">
        <x:f>SUM(D33:D37)</x:f>
        <x:v>164.6575</x:v>
      </x:c>
      <x:c r="E38" s="25" t="n">
        <x:f>SUM(E33:E37)</x:f>
        <x:v>166.195</x:v>
      </x:c>
      <x:c r="F38" s="25" t="n">
        <x:f>SUM(F33:F37)</x:f>
        <x:v>167.7325</x:v>
      </x:c>
      <x:c r="G38" s="25" t="n">
        <x:f>SUM(G33:G37)</x:f>
        <x:v>169.27</x:v>
      </x:c>
      <x:c r="H38" s="25" t="n">
        <x:f>SUM(H33:H37)</x:f>
        <x:v>170.8075</x:v>
      </x:c>
      <x:c r="I38" s="25" t="n">
        <x:f>SUM(I33:I37)</x:f>
        <x:v>172.345</x:v>
      </x:c>
      <x:c r="J38" s="1"/>
    </x:row>
    <x:row r="39" ht="24" customHeight="1">
      <x:c r="A39" s="1"/>
      <x:c r="B39" s="1"/>
      <x:c r="C39" s="24" t="str">
        <x:v>Balance-sheet check (zero)</x:v>
      </x:c>
      <x:c r="D39" s="25" t="n">
        <x:f>ROUND(D31-D38,8)</x:f>
        <x:v>0</x:v>
      </x:c>
      <x:c r="E39" s="25" t="n">
        <x:f>ROUND(E31-E38,8)</x:f>
        <x:v>0</x:v>
      </x:c>
      <x:c r="F39" s="25" t="n">
        <x:f>ROUND(F31-F38,8)</x:f>
        <x:v>0</x:v>
      </x:c>
      <x:c r="G39" s="25" t="n">
        <x:f>ROUND(G31-G38,8)</x:f>
        <x:v>0</x:v>
      </x:c>
      <x:c r="H39" s="25" t="n">
        <x:f>ROUND(H31-H38,8)</x:f>
        <x:v>0</x:v>
      </x:c>
      <x:c r="I39" s="25" t="n">
        <x:f>ROUND(I31-I38,8)</x:f>
        <x:v>0</x:v>
      </x:c>
      <x:c r="J39" s="1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7" customHeight="1">
      <x:c r="A41" s="1"/>
      <x:c r="B41" s="1"/>
      <x:c r="C41" s="8" t="str">
        <x:v>INDIRECT CASH FLOW RECONCILIATION</x:v>
      </x:c>
      <x:c r="D41" s="9"/>
      <x:c r="E41" s="9"/>
      <x:c r="F41" s="9"/>
      <x:c r="G41" s="9"/>
      <x:c r="H41" s="9"/>
      <x:c r="I41" s="9"/>
      <x:c r="J41" s="1"/>
    </x:row>
    <x:row r="42" ht="24" customHeight="1">
      <x:c r="A42" s="1"/>
      <x:c r="B42" s="1"/>
      <x:c r="C42" s="1" t="str">
        <x:v>Net income</x:v>
      </x:c>
      <x:c r="D42" s="18" t="n">
        <x:f>'Operating Forecast'!D36</x:f>
        <x:v>1.5374999999999999</x:v>
      </x:c>
      <x:c r="E42" s="18" t="n">
        <x:f>'Operating Forecast'!E36</x:f>
        <x:v>1.5374999999999999</x:v>
      </x:c>
      <x:c r="F42" s="18" t="n">
        <x:f>'Operating Forecast'!F36</x:f>
        <x:v>1.5374999999999999</x:v>
      </x:c>
      <x:c r="G42" s="18" t="n">
        <x:f>'Operating Forecast'!G36</x:f>
        <x:v>1.5374999999999999</x:v>
      </x:c>
      <x:c r="H42" s="18" t="n">
        <x:f>'Operating Forecast'!H36</x:f>
        <x:v>1.5374999999999999</x:v>
      </x:c>
      <x:c r="I42" s="18" t="n">
        <x:f>'Operating Forecast'!I36</x:f>
        <x:v>1.5374999999999999</x:v>
      </x:c>
      <x:c r="J42" s="1"/>
    </x:row>
    <x:row r="43" ht="24" customHeight="1">
      <x:c r="A43" s="1"/>
      <x:c r="B43" s="1"/>
      <x:c r="C43" s="1" t="str">
        <x:v>Depreciation and amortization</x:v>
      </x:c>
      <x:c r="D43" s="18" t="n">
        <x:f>'Operating Forecast'!D31</x:f>
        <x:v>0.5</x:v>
      </x:c>
      <x:c r="E43" s="18" t="n">
        <x:f>'Operating Forecast'!E31</x:f>
        <x:v>0.5</x:v>
      </x:c>
      <x:c r="F43" s="18" t="n">
        <x:f>'Operating Forecast'!F31</x:f>
        <x:v>0.5</x:v>
      </x:c>
      <x:c r="G43" s="18" t="n">
        <x:f>'Operating Forecast'!G31</x:f>
        <x:v>0.5</x:v>
      </x:c>
      <x:c r="H43" s="18" t="n">
        <x:f>'Operating Forecast'!H31</x:f>
        <x:v>0.5</x:v>
      </x:c>
      <x:c r="I43" s="18" t="n">
        <x:f>'Operating Forecast'!I31</x:f>
        <x:v>0.5</x:v>
      </x:c>
      <x:c r="J43" s="1"/>
    </x:row>
    <x:row r="44" ht="24" customHeight="1">
      <x:c r="A44" s="1"/>
      <x:c r="B44" s="1"/>
      <x:c r="C44" s="1" t="str">
        <x:v>Increase in deferred revenue</x:v>
      </x:c>
      <x:c r="D44" s="18" t="n">
        <x:f>D34-Drivers!$D$20</x:f>
        <x:v>0</x:v>
      </x:c>
      <x:c r="E44" s="2" t="n">
        <x:f>E34-D34</x:f>
        <x:v>0</x:v>
      </x:c>
      <x:c r="F44" s="2" t="n">
        <x:f>F34-E34</x:f>
        <x:v>0</x:v>
      </x:c>
      <x:c r="G44" s="2" t="n">
        <x:f>G34-F34</x:f>
        <x:v>0</x:v>
      </x:c>
      <x:c r="H44" s="2" t="n">
        <x:f>H34-G34</x:f>
        <x:v>0</x:v>
      </x:c>
      <x:c r="I44" s="2" t="n">
        <x:f>I34-H34</x:f>
        <x:v>0</x:v>
      </x:c>
      <x:c r="J44" s="1"/>
    </x:row>
    <x:row r="45" ht="24" customHeight="1">
      <x:c r="A45" s="1"/>
      <x:c r="B45" s="1"/>
      <x:c r="C45" s="1" t="str">
        <x:v>Increase in deferred processing costs</x:v>
      </x:c>
      <x:c r="D45" s="18" t="n">
        <x:f>D28-Drivers!$D$17</x:f>
        <x:v>1.7763568394002505e-15</x:v>
      </x:c>
      <x:c r="E45" s="2" t="n">
        <x:f>E28-D28</x:f>
        <x:v>0</x:v>
      </x:c>
      <x:c r="F45" s="2" t="n">
        <x:f>F28-E28</x:f>
        <x:v>0</x:v>
      </x:c>
      <x:c r="G45" s="2" t="n">
        <x:f>G28-F28</x:f>
        <x:v>0</x:v>
      </x:c>
      <x:c r="H45" s="2" t="n">
        <x:f>H28-G28</x:f>
        <x:v>0</x:v>
      </x:c>
      <x:c r="I45" s="2" t="n">
        <x:f>I28-H28</x:f>
        <x:v>0</x:v>
      </x:c>
      <x:c r="J45" s="1"/>
    </x:row>
    <x:row r="46" ht="24" customHeight="1">
      <x:c r="A46" s="1"/>
      <x:c r="B46" s="1"/>
      <x:c r="C46" s="1" t="str">
        <x:v>Change in net income-tax payable</x:v>
      </x:c>
      <x:c r="D46" s="2" t="n">
        <x:f>D50-0</x:f>
        <x:v>0</x:v>
      </x:c>
      <x:c r="E46" s="2" t="n">
        <x:f>E50-D50</x:f>
        <x:v>0</x:v>
      </x:c>
      <x:c r="F46" s="2" t="n">
        <x:f>F50-E50</x:f>
        <x:v>0</x:v>
      </x:c>
      <x:c r="G46" s="2" t="n">
        <x:f>G50-F50</x:f>
        <x:v>0</x:v>
      </x:c>
      <x:c r="H46" s="2" t="n">
        <x:f>H50-G50</x:f>
        <x:v>0</x:v>
      </x:c>
      <x:c r="I46" s="2" t="n">
        <x:f>I50-H50</x:f>
        <x:v>0</x:v>
      </x:c>
      <x:c r="J46" s="1"/>
    </x:row>
    <x:row r="47" ht="24" customHeight="1">
      <x:c r="A47" s="1"/>
      <x:c r="B47" s="1"/>
      <x:c r="C47" s="24" t="str">
        <x:v>Operating cash flow</x:v>
      </x:c>
      <x:c r="D47" s="25" t="n">
        <x:f>SUM(D42:D44)-D45+D46</x:f>
        <x:v>2.037499999999998</x:v>
      </x:c>
      <x:c r="E47" s="25" t="n">
        <x:f>SUM(E42:E44)-E45+E46</x:f>
        <x:v>2.0374999999999996</x:v>
      </x:c>
      <x:c r="F47" s="25" t="n">
        <x:f>SUM(F42:F44)-F45+F46</x:f>
        <x:v>2.0374999999999996</x:v>
      </x:c>
      <x:c r="G47" s="25" t="n">
        <x:f>SUM(G42:G44)-G45+G46</x:f>
        <x:v>2.0374999999999996</x:v>
      </x:c>
      <x:c r="H47" s="25" t="n">
        <x:f>SUM(H42:H44)-H45+H46</x:f>
        <x:v>2.0374999999999996</x:v>
      </x:c>
      <x:c r="I47" s="25" t="n">
        <x:f>SUM(I42:I44)-I45+I46</x:f>
        <x:v>2.0374999999999996</x:v>
      </x:c>
      <x:c r="J47" s="1"/>
    </x:row>
    <x:row r="48" ht="24" customHeight="1">
      <x:c r="A48" s="1"/>
      <x:c r="B48" s="1"/>
      <x:c r="C48" s="1" t="str">
        <x:v>Less capital expenditure</x:v>
      </x:c>
      <x:c r="D48" s="2" t="n">
        <x:f>D18</x:f>
        <x:v>0.8</x:v>
      </x:c>
      <x:c r="E48" s="2" t="n">
        <x:f>E18</x:f>
        <x:v>0.8</x:v>
      </x:c>
      <x:c r="F48" s="2" t="n">
        <x:f>F18</x:f>
        <x:v>0.8</x:v>
      </x:c>
      <x:c r="G48" s="2" t="n">
        <x:f>G18</x:f>
        <x:v>0.8</x:v>
      </x:c>
      <x:c r="H48" s="2" t="n">
        <x:f>H18</x:f>
        <x:v>0.8</x:v>
      </x:c>
      <x:c r="I48" s="2" t="n">
        <x:f>I18</x:f>
        <x:v>0.8</x:v>
      </x:c>
      <x:c r="J48" s="1"/>
    </x:row>
    <x:row r="49" ht="24" customHeight="1">
      <x:c r="A49" s="1"/>
      <x:c r="B49" s="1"/>
      <x:c r="C49" s="24" t="str">
        <x:v>Cash movement control (zero)</x:v>
      </x:c>
      <x:c r="D49" s="25" t="n">
        <x:f>ROUND(D47-D48-D19,8)</x:f>
        <x:v>0</x:v>
      </x:c>
      <x:c r="E49" s="25" t="n">
        <x:f>ROUND(E47-E48-E19,8)</x:f>
        <x:v>0</x:v>
      </x:c>
      <x:c r="F49" s="25" t="n">
        <x:f>ROUND(F47-F48-F19,8)</x:f>
        <x:v>0</x:v>
      </x:c>
      <x:c r="G49" s="25" t="n">
        <x:f>ROUND(G47-G48-G19,8)</x:f>
        <x:v>0</x:v>
      </x:c>
      <x:c r="H49" s="25" t="n">
        <x:f>ROUND(H47-H48-H19,8)</x:f>
        <x:v>0</x:v>
      </x:c>
      <x:c r="I49" s="25" t="n">
        <x:f>ROUND(I47-I48-I19,8)</x:f>
        <x:v>0</x:v>
      </x:c>
      <x:c r="J49" s="1"/>
    </x:row>
    <x:row r="50" ht="24" customHeight="1">
      <x:c r="A50" s="1"/>
      <x:c r="B50" s="1"/>
      <x:c r="C50" s="1" t="str">
        <x:v>Net tax liability / (receivable)</x:v>
      </x:c>
      <x:c r="D50" s="18" t="n">
        <x:f>0+'Operating Forecast'!D35-D17</x:f>
        <x:v>0</x:v>
      </x:c>
      <x:c r="E50" s="18" t="n">
        <x:f>D50+'Operating Forecast'!E35-E17</x:f>
        <x:v>0</x:v>
      </x:c>
      <x:c r="F50" s="18" t="n">
        <x:f>E50+'Operating Forecast'!F35-F17</x:f>
        <x:v>0</x:v>
      </x:c>
      <x:c r="G50" s="18" t="n">
        <x:f>F50+'Operating Forecast'!G35-G17</x:f>
        <x:v>0</x:v>
      </x:c>
      <x:c r="H50" s="18" t="n">
        <x:f>G50+'Operating Forecast'!H35-H17</x:f>
        <x:v>0</x:v>
      </x:c>
      <x:c r="I50" s="18" t="n">
        <x:f>H50+'Operating Forecast'!I35-I17</x:f>
        <x:v>0</x:v>
      </x:c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 t="str">
        <x:v>Projected headroom is not a month-end actual C01 test. C05 requires a separate 13-week forecast.</x:v>
      </x:c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 t="str">
        <x:v>C02 is tested on actual LTM EBITDA at specified quarter ends, never annualized monthly EBITDA.</x:v>
      </x:c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conditionalFormatting sqref="D39:I39">
    <x:cfRule type="expression" dxfId="4" priority="1">
      <x:formula>ABS(D39)&gt;0.000001</x:formula>
    </x:cfRule>
  </x:conditionalFormatting>
  <x:conditionalFormatting sqref="D49:I49">
    <x:cfRule type="expression" dxfId="5" priority="2">
      <x:formula>ABS(D49)&gt;0.000001</x:formula>
    </x:cfRule>
  </x:conditionalFormatting>
  <x:pageMargins left="0.7" right="0.7" top="0.75" bottom="0.75" header="0.3" footer="0.3"/>
</x:worksheet>
</file>