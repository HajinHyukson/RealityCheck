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d570304d8f4a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ivers" sheetId="1" r:id="R1f6c7832f3c44d9f"/>
    <x:sheet xmlns:r="http://schemas.openxmlformats.org/officeDocument/2006/relationships" name="Opening Position" sheetId="2" r:id="R14c22e730b1d486f"/>
    <x:sheet xmlns:r="http://schemas.openxmlformats.org/officeDocument/2006/relationships" name="Operating Forecast" sheetId="3" r:id="Rac70b4b611434d10"/>
    <x:sheet xmlns:r="http://schemas.openxmlformats.org/officeDocument/2006/relationships" name="Cash and Balance Sheet" sheetId="4" r:id="Rf51aaaf0f2104f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0000;(#,##0.000000);&quot;-&quot;"/>
    <x:numFmt numFmtId="201" formatCode="0.00%;(0.00%);&quot;-&quot;"/>
    <x:numFmt numFmtId="202" formatCode="0.00&quot;x&quot;"/>
    <x:numFmt numFmtId="203" formatCode="mmm yyyy"/>
    <x:numFmt numFmtId="204" formatCode="0.0000&quot;x&quot;"/>
  </x:numFmts>
  <x:fonts count="9">
    <x:font>
      <x:sz val="11"/>
      <x:name val="Carlito"/>
    </x:font>
    <x:font>
      <x:sz val="10"/>
      <x:color rgb="FF142331"/>
      <x:name val="Arial"/>
    </x:font>
    <x:font>
      <x:b/>
      <x:sz val="18"/>
      <x:color rgb="FF142331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804A"/>
      <x:name val="Arial"/>
    </x:font>
    <x:font>
      <x:b/>
      <x:sz val="10"/>
      <x:color rgb="FF142331"/>
      <x:name val="Arial"/>
    </x:font>
    <x:font>
      <x:b/>
      <x:sz val="10"/>
      <x:color rgb="FF00804A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33A50"/>
      </x:patternFill>
    </x:fill>
    <x:fill>
      <x:patternFill patternType="solid">
        <x:fgColor rgb="FFEEF5FB"/>
      </x:patternFill>
    </x:fill>
    <x:fill>
      <x:patternFill patternType="solid">
        <x:fgColor rgb="FFFFFFFF"/>
      </x:patternFill>
    </x:fill>
    <x:fill>
      <x:patternFill patternType="solid">
        <x:fgColor rgb="FFE8F0F2"/>
      </x:patternFill>
    </x:fill>
  </x:fills>
  <x:borders count="2">
    <x:border/>
    <x:border>
      <x:top style="thin">
        <x:color rgb="FF94A9B4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200" fontId="5" fillId="0" borderId="0" xfId="0" applyNumberFormat="1" applyFont="1" applyFill="1" applyBorder="1"/>
    <x:xf numFmtId="200" fontId="5" fillId="3" borderId="0" xfId="0" applyNumberFormat="1" applyFont="1" applyFill="1" applyBorder="1"/>
    <x:xf numFmtId="201" fontId="1" fillId="0" borderId="0" xfId="0" applyNumberFormat="1" applyFont="1" applyFill="1" applyBorder="1"/>
    <x:xf numFmtId="201" fontId="5" fillId="0" borderId="0" xfId="0" applyNumberFormat="1" applyFont="1" applyFill="1" applyBorder="1"/>
    <x:xf numFmtId="201" fontId="5" fillId="3" borderId="0" xfId="0" applyNumberFormat="1" applyFont="1" applyFill="1" applyBorder="1"/>
    <x:xf numFmtId="202" fontId="1" fillId="0" borderId="0" xfId="0" applyNumberFormat="1" applyFont="1" applyFill="1" applyBorder="1"/>
    <x:xf numFmtId="202" fontId="5" fillId="0" borderId="0" xfId="0" applyNumberFormat="1" applyFont="1" applyFill="1" applyBorder="1"/>
    <x:xf numFmtId="202" fontId="5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3" fontId="1" fillId="0" borderId="0" xfId="0" applyNumberFormat="1" applyFont="1" applyFill="1" applyBorder="1"/>
    <x:xf numFmtId="200" fontId="6" fillId="0" borderId="0" xfId="0" applyNumberFormat="1" applyFont="1" applyFill="1" applyBorder="1"/>
    <x:xf numFmtId="204" fontId="1" fillId="0" borderId="0" xfId="0" applyNumberFormat="1" applyFont="1" applyFill="1" applyBorder="1"/>
    <x:xf numFmtId="0" fontId="1" fillId="5" borderId="0" xfId="0" applyNumberFormat="1" applyFont="1" applyFill="1" applyBorder="1"/>
    <x:xf numFmtId="200" fontId="1" fillId="5" borderId="0" xfId="0" applyNumberFormat="1" applyFont="1" applyFill="1" applyBorder="1"/>
    <x:xf numFmtId="0" fontId="7" fillId="5" borderId="0" xfId="0" applyNumberFormat="1" applyFont="1" applyFill="1" applyBorder="1"/>
    <x:xf numFmtId="200" fontId="7" fillId="5" borderId="0" xfId="0" applyNumberFormat="1" applyFont="1" applyFill="1" applyBorder="1"/>
    <x:xf numFmtId="0" fontId="7" fillId="5" borderId="1" xfId="0" applyNumberFormat="1" applyFont="1" applyFill="1" applyBorder="1"/>
    <x:xf numFmtId="200" fontId="7" fillId="5" borderId="1" xfId="0" applyNumberFormat="1" applyFont="1" applyFill="1" applyBorder="1"/>
    <x:xf numFmtId="200" fontId="6" fillId="5" borderId="0" xfId="0" applyNumberFormat="1" applyFont="1" applyFill="1" applyBorder="1"/>
    <x:xf numFmtId="200" fontId="8" fillId="5" borderId="0" xfId="0" applyNumberFormat="1" applyFont="1" applyFill="1" applyBorder="1"/>
    <x:xf numFmtId="200" fontId="8" fillId="5" borderId="1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FBE8E8"/>
        </x:patternFill>
      </x:fill>
    </x:dxf>
    <x:dxf>
      <x:fill>
        <x:patternFill patternType="solid">
          <x:bgColor rgb="FFFB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df6fcbf62440bd" /><Relationship Type="http://schemas.openxmlformats.org/officeDocument/2006/relationships/theme" Target="/xl/theme/theme1.xml" Id="Rb274cd87589949f0" /><Relationship Type="http://schemas.openxmlformats.org/officeDocument/2006/relationships/sharedStrings" Target="/xl/sharedStrings.xml" Id="R796bf2d250b64278" /><Relationship Type="http://schemas.openxmlformats.org/officeDocument/2006/relationships/worksheet" Target="/xl/worksheets/sheet1.xml" Id="R1f6c7832f3c44d9f" /><Relationship Type="http://schemas.openxmlformats.org/officeDocument/2006/relationships/worksheet" Target="/xl/worksheets/sheet2.xml" Id="R14c22e730b1d486f" /><Relationship Type="http://schemas.openxmlformats.org/officeDocument/2006/relationships/worksheet" Target="/xl/worksheets/sheet3.xml" Id="Rac70b4b611434d10" /><Relationship Type="http://schemas.openxmlformats.org/officeDocument/2006/relationships/worksheet" Target="/xl/worksheets/sheet4.xml" Id="Rf51aaaf0f2104f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7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32" customHeight="1">
      <x:c r="A2" s="1"/>
      <x:c r="B2" s="1"/>
      <x:c r="C2" s="3" t="str">
        <x:v>04 YETI Drivers</x:v>
      </x:c>
      <x:c r="D2" s="1"/>
      <x:c r="E2" s="1"/>
      <x:c r="F2" s="1"/>
      <x:c r="G2" s="1"/>
      <x:c r="H2" s="1"/>
      <x:c r="I2" s="1"/>
      <x:c r="J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3" customHeight="1">
      <x:c r="A4" s="1"/>
      <x:c r="B4" s="1"/>
      <x:c r="C4" s="1" t="str">
        <x:v>Synthetic demo. YETI-04. Available October 1, 2026. USD millions unless stated.</x:v>
      </x:c>
      <x:c r="D4" s="1"/>
      <x:c r="E4" s="1"/>
      <x:c r="F4" s="1"/>
      <x:c r="G4" s="1"/>
      <x:c r="H4" s="1"/>
      <x:c r="I4" s="1"/>
      <x:c r="J4" s="1"/>
    </x:row>
    <x:row r="5" ht="23" customHeight="1">
      <x:c r="A5" s="1"/>
      <x:c r="B5" s="1"/>
      <x:c r="C5" s="1" t="str">
        <x:v>Invented borrower and finances; no real-company affiliation or guarantee is asserted.</x:v>
      </x:c>
      <x:c r="D5" s="1"/>
      <x:c r="E5" s="1"/>
      <x:c r="F5" s="1"/>
      <x:c r="G5" s="1"/>
      <x:c r="H5" s="1"/>
      <x:c r="I5" s="1"/>
      <x:c r="J5" s="1"/>
    </x:row>
    <x:row r="6" ht="23" customHeight="1">
      <x:c r="A6" s="1"/>
      <x:c r="B6" s="1"/>
      <x:c r="C6" s="1" t="str">
        <x:v>Blue inputs. Green links between sheets. Dark formulas. Forecasts exclude later reports.</x:v>
      </x:c>
      <x:c r="D6" s="1"/>
      <x:c r="E6" s="1"/>
      <x:c r="F6" s="1"/>
      <x:c r="G6" s="1"/>
      <x:c r="H6" s="1"/>
      <x:c r="I6" s="1"/>
      <x:c r="J6" s="1"/>
    </x:row>
    <x:row r="7" ht="23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27" customHeight="1">
      <x:c r="A8" s="1"/>
      <x:c r="B8" s="1"/>
      <x:c r="C8" s="8" t="str">
        <x:v>FACILITY AND OPENING INPUTS</x:v>
      </x:c>
      <x:c r="D8" s="9"/>
      <x:c r="E8" s="9"/>
      <x:c r="F8" s="9"/>
      <x:c r="G8" s="9"/>
      <x:c r="H8" s="9"/>
      <x:c r="I8" s="9"/>
      <x:c r="J8" s="1"/>
    </x:row>
    <x:row r="9" ht="23" customHeight="1">
      <x:c r="A9" s="1"/>
      <x:c r="B9" s="1"/>
      <x:c r="C9" s="1" t="str">
        <x:v>Debt principal</x:v>
      </x:c>
      <x:c r="D9" s="11" t="n">
        <x:v>50</x:v>
      </x:c>
      <x:c r="E9" s="2"/>
      <x:c r="F9" s="2"/>
      <x:c r="G9" s="2"/>
      <x:c r="H9" s="2"/>
      <x:c r="I9" s="2"/>
      <x:c r="J9" s="1"/>
    </x:row>
    <x:row r="10" ht="23" customHeight="1">
      <x:c r="A10" s="1"/>
      <x:c r="B10" s="1"/>
      <x:c r="C10" s="1" t="str">
        <x:v>Fixed annual interest</x:v>
      </x:c>
      <x:c r="D10" s="14" t="n">
        <x:v>0.09</x:v>
      </x:c>
      <x:c r="E10" s="2"/>
      <x:c r="F10" s="2"/>
      <x:c r="G10" s="2"/>
      <x:c r="H10" s="2"/>
      <x:c r="I10" s="2"/>
      <x:c r="J10" s="1"/>
    </x:row>
    <x:row r="11" ht="23" customHeight="1">
      <x:c r="A11" s="1"/>
      <x:c r="B11" s="1"/>
      <x:c r="C11" s="1" t="str">
        <x:v>C01 actual cash floor</x:v>
      </x:c>
      <x:c r="D11" s="11" t="n">
        <x:v>12</x:v>
      </x:c>
      <x:c r="E11" s="2"/>
      <x:c r="F11" s="2"/>
      <x:c r="G11" s="2"/>
      <x:c r="H11" s="2"/>
      <x:c r="I11" s="2"/>
      <x:c r="J11" s="1"/>
    </x:row>
    <x:row r="12" ht="23" customHeight="1">
      <x:c r="A12" s="1"/>
      <x:c r="B12" s="1"/>
      <x:c r="C12" s="1" t="str">
        <x:v>C05 forecast reporting trigger</x:v>
      </x:c>
      <x:c r="D12" s="11" t="n">
        <x:v>16</x:v>
      </x:c>
      <x:c r="E12" s="2"/>
      <x:c r="F12" s="2"/>
      <x:c r="G12" s="2"/>
      <x:c r="H12" s="2"/>
      <x:c r="I12" s="2"/>
      <x:c r="J12" s="1"/>
    </x:row>
    <x:row r="13" ht="23" customHeight="1">
      <x:c r="A13" s="1"/>
      <x:c r="B13" s="1"/>
      <x:c r="C13" s="1" t="str">
        <x:v>C02 maximum Net Leverage</x:v>
      </x:c>
      <x:c r="D13" s="17" t="n">
        <x:v>2.5</x:v>
      </x:c>
      <x:c r="E13" s="2"/>
      <x:c r="F13" s="2"/>
      <x:c r="G13" s="2"/>
      <x:c r="H13" s="2"/>
      <x:c r="I13" s="2"/>
      <x:c r="J13" s="1"/>
    </x:row>
    <x:row r="14" ht="23" customHeight="1">
      <x:c r="A14" s="1"/>
      <x:c r="B14" s="1"/>
      <x:c r="C14" s="1" t="str">
        <x:v>Opening total bank cash</x:v>
      </x:c>
      <x:c r="D14" s="19" t="n">
        <x:f>D23+D9-D24</x:f>
        <x:v>22</x:v>
      </x:c>
      <x:c r="E14" s="2"/>
      <x:c r="F14" s="2"/>
      <x:c r="G14" s="2"/>
      <x:c r="H14" s="2"/>
      <x:c r="I14" s="2"/>
      <x:c r="J14" s="1"/>
    </x:row>
    <x:row r="15" ht="23" customHeight="1">
      <x:c r="A15" s="1"/>
      <x:c r="B15" s="1"/>
      <x:c r="C15" s="1" t="str">
        <x:v>Restricted reserve</x:v>
      </x:c>
      <x:c r="D15" s="11" t="n">
        <x:v>2</x:v>
      </x:c>
      <x:c r="E15" s="2"/>
      <x:c r="F15" s="2"/>
      <x:c r="G15" s="2"/>
      <x:c r="H15" s="2"/>
      <x:c r="I15" s="2"/>
      <x:c r="J15" s="1"/>
    </x:row>
    <x:row r="16" ht="23" customHeight="1">
      <x:c r="A16" s="1"/>
      <x:c r="B16" s="1"/>
      <x:c r="C16" s="1" t="str">
        <x:v>Opening receivables</x:v>
      </x:c>
      <x:c r="D16" s="11" t="n">
        <x:v>10</x:v>
      </x:c>
      <x:c r="E16" s="2"/>
      <x:c r="F16" s="2"/>
      <x:c r="G16" s="2"/>
      <x:c r="H16" s="2"/>
      <x:c r="I16" s="2"/>
      <x:c r="J16" s="1"/>
    </x:row>
    <x:row r="17" ht="23" customHeight="1">
      <x:c r="A17" s="1"/>
      <x:c r="B17" s="1"/>
      <x:c r="C17" s="1" t="str">
        <x:v>Opening inventory</x:v>
      </x:c>
      <x:c r="D17" s="11" t="n">
        <x:v>24</x:v>
      </x:c>
      <x:c r="E17" s="2"/>
      <x:c r="F17" s="2"/>
      <x:c r="G17" s="2"/>
      <x:c r="H17" s="2"/>
      <x:c r="I17" s="2"/>
      <x:c r="J17" s="1"/>
    </x:row>
    <x:row r="18" ht="23" customHeight="1">
      <x:c r="A18" s="1"/>
      <x:c r="B18" s="1"/>
      <x:c r="C18" s="1" t="str">
        <x:v>Opening net fixed assets</x:v>
      </x:c>
      <x:c r="D18" s="11" t="n">
        <x:v>30</x:v>
      </x:c>
      <x:c r="E18" s="2"/>
      <x:c r="F18" s="2"/>
      <x:c r="G18" s="2"/>
      <x:c r="H18" s="2"/>
      <x:c r="I18" s="2"/>
      <x:c r="J18" s="1"/>
    </x:row>
    <x:row r="19" ht="23" customHeight="1">
      <x:c r="A19" s="1"/>
      <x:c r="B19" s="1"/>
      <x:c r="C19" s="1" t="str">
        <x:v>Opening operating payables</x:v>
      </x:c>
      <x:c r="D19" s="11" t="n">
        <x:v>8</x:v>
      </x:c>
      <x:c r="E19" s="2"/>
      <x:c r="F19" s="2"/>
      <x:c r="G19" s="2"/>
      <x:c r="H19" s="2"/>
      <x:c r="I19" s="2"/>
      <x:c r="J19" s="1"/>
    </x:row>
    <x:row r="20" ht="23" customHeight="1">
      <x:c r="A20" s="1"/>
      <x:c r="B20" s="1"/>
      <x:c r="C20" s="1" t="str">
        <x:v>Opening equity</x:v>
      </x:c>
      <x:c r="D20" s="11" t="n">
        <x:v>28</x:v>
      </x:c>
      <x:c r="E20" s="2"/>
      <x:c r="F20" s="2"/>
      <x:c r="G20" s="2"/>
      <x:c r="H20" s="2"/>
      <x:c r="I20" s="2"/>
      <x:c r="J20" s="1"/>
    </x:row>
    <x:row r="21" ht="23" customHeight="1">
      <x:c r="A21" s="1"/>
      <x:c r="B21" s="1"/>
      <x:c r="C21" s="1" t="str">
        <x:v>Fixed monthly cash-tax installment</x:v>
      </x:c>
      <x:c r="D21" s="11" t="n">
        <x:v>0.55625</x:v>
      </x:c>
      <x:c r="E21" s="2"/>
      <x:c r="F21" s="2"/>
      <x:c r="G21" s="2"/>
      <x:c r="H21" s="2"/>
      <x:c r="I21" s="2"/>
      <x:c r="J21" s="1"/>
    </x:row>
    <x:row r="22" ht="23" customHeight="1">
      <x:c r="A22" s="1"/>
      <x:c r="B22" s="1"/>
      <x:c r="C22" s="1"/>
      <x:c r="D22" s="2"/>
      <x:c r="E22" s="2"/>
      <x:c r="F22" s="2"/>
      <x:c r="G22" s="2"/>
      <x:c r="H22" s="2"/>
      <x:c r="I22" s="2"/>
      <x:c r="J22" s="1"/>
    </x:row>
    <x:row r="23" ht="23" customHeight="1">
      <x:c r="A23" s="1"/>
      <x:c r="B23" s="1"/>
      <x:c r="C23" s="1" t="str">
        <x:v>Pre-funding bank cash</x:v>
      </x:c>
      <x:c r="D23" s="11" t="n">
        <x:v>12</x:v>
      </x:c>
      <x:c r="E23" s="2"/>
      <x:c r="F23" s="2"/>
      <x:c r="G23" s="2"/>
      <x:c r="H23" s="2"/>
      <x:c r="I23" s="2"/>
      <x:c r="J23" s="1"/>
    </x:row>
    <x:row r="24" ht="23" customHeight="1">
      <x:c r="A24" s="1"/>
      <x:c r="B24" s="1"/>
      <x:c r="C24" s="1" t="str">
        <x:v>Prior debt refinanced</x:v>
      </x:c>
      <x:c r="D24" s="11" t="n">
        <x:v>40</x:v>
      </x:c>
      <x:c r="E24" s="2"/>
      <x:c r="F24" s="2"/>
      <x:c r="G24" s="2"/>
      <x:c r="H24" s="2"/>
      <x:c r="I24" s="2"/>
      <x:c r="J24" s="1"/>
    </x:row>
    <x:row r="25" ht="23" customHeight="1">
      <x:c r="A25" s="1"/>
      <x:c r="B25" s="1"/>
      <x:c r="C25" s="1"/>
      <x:c r="D25" s="2"/>
      <x:c r="E25" s="2"/>
      <x:c r="F25" s="2"/>
      <x:c r="G25" s="2"/>
      <x:c r="H25" s="2"/>
      <x:c r="I25" s="2"/>
      <x:c r="J25" s="1"/>
    </x:row>
    <x:row r="26" ht="23" customHeight="1">
      <x:c r="A26" s="1"/>
      <x:c r="B26" s="1"/>
      <x:c r="C26" s="1"/>
      <x:c r="D26" s="2"/>
      <x:c r="E26" s="2"/>
      <x:c r="F26" s="2"/>
      <x:c r="G26" s="2"/>
      <x:c r="H26" s="2"/>
      <x:c r="I26" s="2"/>
      <x:c r="J26" s="1"/>
    </x:row>
    <x:row r="27" ht="27" customHeight="1">
      <x:c r="A27" s="1"/>
      <x:c r="B27" s="1"/>
      <x:c r="C27" s="8" t="str">
        <x:v>MONTHLY FORECAST DRIVERS</x:v>
      </x:c>
      <x:c r="D27" s="9"/>
      <x:c r="E27" s="9"/>
      <x:c r="F27" s="9"/>
      <x:c r="G27" s="9"/>
      <x:c r="H27" s="9"/>
      <x:c r="I27" s="9"/>
      <x:c r="J27" s="1"/>
    </x:row>
    <x:row r="28" ht="23" customHeight="1">
      <x:c r="A28" s="1"/>
      <x:c r="B28" s="1"/>
      <x:c r="C28" s="1" t="str">
        <x:v>Month ending</x:v>
      </x:c>
      <x:c r="D28" s="20" t="n">
        <x:v>46326</x:v>
      </x:c>
      <x:c r="E28" s="20" t="n">
        <x:v>46356</x:v>
      </x:c>
      <x:c r="F28" s="20" t="n">
        <x:v>46387</x:v>
      </x:c>
      <x:c r="G28" s="20" t="n">
        <x:v>46418</x:v>
      </x:c>
      <x:c r="H28" s="20" t="n">
        <x:v>46446</x:v>
      </x:c>
      <x:c r="I28" s="20" t="n">
        <x:v>46477</x:v>
      </x:c>
      <x:c r="J28" s="1"/>
    </x:row>
    <x:row r="29" ht="23" customHeight="1">
      <x:c r="A29" s="1"/>
      <x:c r="B29" s="1"/>
      <x:c r="C29" s="1" t="str">
        <x:v>Net sales</x:v>
      </x:c>
      <x:c r="D29" s="11" t="n">
        <x:v>20</x:v>
      </x:c>
      <x:c r="E29" s="11" t="n">
        <x:v>20</x:v>
      </x:c>
      <x:c r="F29" s="11" t="n">
        <x:v>20</x:v>
      </x:c>
      <x:c r="G29" s="11" t="n">
        <x:v>20</x:v>
      </x:c>
      <x:c r="H29" s="11" t="n">
        <x:v>20</x:v>
      </x:c>
      <x:c r="I29" s="11" t="n">
        <x:v>20</x:v>
      </x:c>
      <x:c r="J29" s="1"/>
    </x:row>
    <x:row r="30" ht="23" customHeight="1">
      <x:c r="A30" s="1"/>
      <x:c r="B30" s="1"/>
      <x:c r="C30" s="1" t="str">
        <x:v>Landed COGS / sales</x:v>
      </x:c>
      <x:c r="D30" s="14" t="n">
        <x:v>0.6</x:v>
      </x:c>
      <x:c r="E30" s="14" t="n">
        <x:v>0.6</x:v>
      </x:c>
      <x:c r="F30" s="14" t="n">
        <x:v>0.6</x:v>
      </x:c>
      <x:c r="G30" s="14" t="n">
        <x:v>0.6</x:v>
      </x:c>
      <x:c r="H30" s="14" t="n">
        <x:v>0.6</x:v>
      </x:c>
      <x:c r="I30" s="14" t="n">
        <x:v>0.6</x:v>
      </x:c>
      <x:c r="J30" s="1"/>
    </x:row>
    <x:row r="31" ht="23" customHeight="1">
      <x:c r="A31" s="1"/>
      <x:c r="B31" s="1"/>
      <x:c r="C31" s="1" t="str">
        <x:v>Inventory purchases received</x:v>
      </x:c>
      <x:c r="D31" s="11" t="n">
        <x:v>12</x:v>
      </x:c>
      <x:c r="E31" s="11" t="n">
        <x:v>12</x:v>
      </x:c>
      <x:c r="F31" s="11" t="n">
        <x:v>12</x:v>
      </x:c>
      <x:c r="G31" s="11" t="n">
        <x:v>12</x:v>
      </x:c>
      <x:c r="H31" s="11" t="n">
        <x:v>12</x:v>
      </x:c>
      <x:c r="I31" s="11" t="n">
        <x:v>12</x:v>
      </x:c>
      <x:c r="J31" s="1"/>
    </x:row>
    <x:row r="32" ht="23" customHeight="1">
      <x:c r="A32" s="1"/>
      <x:c r="B32" s="1"/>
      <x:c r="C32" s="1" t="str">
        <x:v>Customer cash collections</x:v>
      </x:c>
      <x:c r="D32" s="11" t="n">
        <x:v>20</x:v>
      </x:c>
      <x:c r="E32" s="11" t="n">
        <x:v>20</x:v>
      </x:c>
      <x:c r="F32" s="11" t="n">
        <x:v>20</x:v>
      </x:c>
      <x:c r="G32" s="11" t="n">
        <x:v>20</x:v>
      </x:c>
      <x:c r="H32" s="11" t="n">
        <x:v>20</x:v>
      </x:c>
      <x:c r="I32" s="11" t="n">
        <x:v>20</x:v>
      </x:c>
      <x:c r="J32" s="1"/>
    </x:row>
    <x:row r="33" ht="23" customHeight="1">
      <x:c r="A33" s="1"/>
      <x:c r="B33" s="1"/>
      <x:c r="C33" s="1" t="str">
        <x:v>Other operating expense</x:v>
      </x:c>
      <x:c r="D33" s="11" t="n">
        <x:v>5</x:v>
      </x:c>
      <x:c r="E33" s="11" t="n">
        <x:v>5</x:v>
      </x:c>
      <x:c r="F33" s="11" t="n">
        <x:v>5</x:v>
      </x:c>
      <x:c r="G33" s="11" t="n">
        <x:v>5</x:v>
      </x:c>
      <x:c r="H33" s="11" t="n">
        <x:v>5</x:v>
      </x:c>
      <x:c r="I33" s="11" t="n">
        <x:v>5</x:v>
      </x:c>
      <x:c r="J33" s="1"/>
    </x:row>
    <x:row r="34" ht="23" customHeight="1">
      <x:c r="A34" s="1"/>
      <x:c r="B34" s="1"/>
      <x:c r="C34" s="1" t="str">
        <x:v>Depreciation and amortization</x:v>
      </x:c>
      <x:c r="D34" s="11" t="n">
        <x:v>0.4</x:v>
      </x:c>
      <x:c r="E34" s="11" t="n">
        <x:v>0.4</x:v>
      </x:c>
      <x:c r="F34" s="11" t="n">
        <x:v>0.4</x:v>
      </x:c>
      <x:c r="G34" s="11" t="n">
        <x:v>0.4</x:v>
      </x:c>
      <x:c r="H34" s="11" t="n">
        <x:v>0.4</x:v>
      </x:c>
      <x:c r="I34" s="11" t="n">
        <x:v>0.4</x:v>
      </x:c>
      <x:c r="J34" s="1"/>
    </x:row>
    <x:row r="35" ht="23" customHeight="1">
      <x:c r="A35" s="1"/>
      <x:c r="B35" s="1"/>
      <x:c r="C35" s="1" t="str">
        <x:v>Capital expenditure</x:v>
      </x:c>
      <x:c r="D35" s="11" t="n">
        <x:v>0.6</x:v>
      </x:c>
      <x:c r="E35" s="11" t="n">
        <x:v>0.6</x:v>
      </x:c>
      <x:c r="F35" s="11" t="n">
        <x:v>0.6</x:v>
      </x:c>
      <x:c r="G35" s="11" t="n">
        <x:v>0.6</x:v>
      </x:c>
      <x:c r="H35" s="11" t="n">
        <x:v>0.6</x:v>
      </x:c>
      <x:c r="I35" s="11" t="n">
        <x:v>0.6</x:v>
      </x:c>
      <x:c r="J35" s="1"/>
    </x:row>
    <x:row r="36" ht="23" customHeight="1">
      <x:c r="A36" s="1"/>
      <x:c r="B36" s="1"/>
      <x:c r="C36" s="1" t="str">
        <x:v>Income tax rate</x:v>
      </x:c>
      <x:c r="D36" s="14" t="n">
        <x:v>0.25</x:v>
      </x:c>
      <x:c r="E36" s="14" t="n">
        <x:v>0.25</x:v>
      </x:c>
      <x:c r="F36" s="14" t="n">
        <x:v>0.25</x:v>
      </x:c>
      <x:c r="G36" s="14" t="n">
        <x:v>0.25</x:v>
      </x:c>
      <x:c r="H36" s="14" t="n">
        <x:v>0.25</x:v>
      </x:c>
      <x:c r="I36" s="14" t="n">
        <x:v>0.25</x:v>
      </x:c>
      <x:c r="J36" s="1"/>
    </x:row>
    <x:row r="37" ht="23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1"/>
    </x:row>
    <x:row r="38" ht="23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1"/>
    </x:row>
    <x:row r="39" ht="23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1"/>
    </x:row>
    <x:row r="40" ht="23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1"/>
    </x:row>
    <x:row r="41" ht="23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1"/>
    </x:row>
    <x:row r="42" ht="23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1"/>
    </x:row>
    <x:row r="43" ht="27" customHeight="1">
      <x:c r="A43" s="1"/>
      <x:c r="B43" s="1"/>
      <x:c r="C43" s="8" t="str">
        <x:v>SOURCES AND MODEL DEFINITIONS</x:v>
      </x:c>
      <x:c r="D43" s="9"/>
      <x:c r="E43" s="9"/>
      <x:c r="F43" s="9"/>
      <x:c r="G43" s="9"/>
      <x:c r="H43" s="9"/>
      <x:c r="I43" s="9"/>
      <x:c r="J43" s="1"/>
    </x:row>
    <x:row r="44" ht="23" customHeight="1">
      <x:c r="A44" s="1"/>
      <x:c r="B44" s="1"/>
      <x:c r="C44" s="1" t="str">
        <x:v>All numeric values are synthetic. Source: 02 Original Credit Agreement and 03 Underwriting Memo.</x:v>
      </x:c>
      <x:c r="D44" s="2"/>
      <x:c r="E44" s="2"/>
      <x:c r="F44" s="2"/>
      <x:c r="G44" s="2"/>
      <x:c r="H44" s="2"/>
      <x:c r="I44" s="2"/>
      <x:c r="J44" s="1"/>
    </x:row>
    <x:row r="45" ht="23" customHeight="1">
      <x:c r="A45" s="1"/>
      <x:c r="B45" s="1"/>
      <x:c r="C45" s="1" t="str">
        <x:v>Opening and LTM observations are fixed historical inputs, independent of future editable assumptions.</x:v>
      </x:c>
      <x:c r="D45" s="2"/>
      <x:c r="E45" s="2"/>
      <x:c r="F45" s="2"/>
      <x:c r="G45" s="2"/>
      <x:c r="H45" s="2"/>
      <x:c r="I45" s="2"/>
      <x:c r="J45" s="1"/>
    </x:row>
    <x:row r="46" ht="23" customHeight="1">
      <x:c r="A46" s="1"/>
      <x:c r="B46" s="1"/>
      <x:c r="C46" s="1" t="str">
        <x:v>Purchases received and cash collections are separate from recognized COGS and sales.</x:v>
      </x:c>
      <x:c r="D46" s="2"/>
      <x:c r="E46" s="2"/>
      <x:c r="F46" s="2"/>
      <x:c r="G46" s="2"/>
      <x:c r="H46" s="2"/>
      <x:c r="I46" s="2"/>
      <x:c r="J46" s="1"/>
    </x:row>
    <x:row r="47" ht="23" customHeight="1">
      <x:c r="A47" s="1"/>
      <x:c r="B47" s="1"/>
      <x:c r="C47" s="1" t="str">
        <x:v>Receivables = prior receivables + sales - collections. Inventory = prior inventory + purchases - COGS.</x:v>
      </x:c>
      <x:c r="D47" s="2"/>
      <x:c r="E47" s="2"/>
      <x:c r="F47" s="2"/>
      <x:c r="G47" s="2"/>
      <x:c r="H47" s="2"/>
      <x:c r="I47" s="2"/>
      <x:c r="J47" s="1"/>
    </x:row>
    <x:row r="48" ht="23" customHeight="1">
      <x:c r="A48" s="1"/>
      <x:c r="B48" s="1"/>
      <x:c r="C48" s="1" t="str">
        <x:v>All purchases and operating costs are paid monthly; other payables remain constant.</x:v>
      </x:c>
      <x:c r="D48" s="2"/>
      <x:c r="E48" s="2"/>
      <x:c r="F48" s="2"/>
      <x:c r="G48" s="2"/>
      <x:c r="H48" s="2"/>
      <x:c r="I48" s="2"/>
      <x:c r="J48" s="1"/>
    </x:row>
    <x:row r="49" ht="23" customHeight="1">
      <x:c r="A49" s="1"/>
      <x:c r="B49" s="1"/>
      <x:c r="C49" s="1" t="str">
        <x:v>Tax expense uses positive pretax income; cash installments stay fixed. The difference accrues.</x:v>
      </x:c>
      <x:c r="D49" s="2"/>
      <x:c r="E49" s="2"/>
      <x:c r="F49" s="2"/>
      <x:c r="G49" s="2"/>
      <x:c r="H49" s="2"/>
      <x:c r="I49" s="2"/>
      <x:c r="J49" s="1"/>
    </x:row>
    <x:row r="50" ht="23" customHeight="1">
      <x:c r="A50" s="1"/>
      <x:c r="B50" s="1"/>
      <x:c r="C50" s="1" t="str">
        <x:v>Lease rent is expensed. This management balance sheet omits matching GAAP lease assets and liabilities.</x:v>
      </x:c>
      <x:c r="D50" s="2"/>
      <x:c r="E50" s="2"/>
      <x:c r="F50" s="2"/>
      <x:c r="G50" s="2"/>
      <x:c r="H50" s="2"/>
      <x:c r="I50" s="2"/>
      <x:c r="J50" s="1"/>
    </x:row>
    <x:row r="51" ht="23" customHeight="1">
      <x:c r="A51" s="1"/>
      <x:c r="B51" s="1"/>
      <x:c r="C51" s="1" t="str">
        <x:v>C01 tests actual month-end cash. Forecast headroom is not a compliance certificate.</x:v>
      </x:c>
      <x:c r="D51" s="2"/>
      <x:c r="E51" s="2"/>
      <x:c r="F51" s="2"/>
      <x:c r="G51" s="2"/>
      <x:c r="H51" s="2"/>
      <x:c r="I51" s="2"/>
      <x:c r="J51" s="1"/>
    </x:row>
    <x:row r="52" ht="23" customHeight="1">
      <x:c r="A52" s="1"/>
      <x:c r="B52" s="1"/>
      <x:c r="C52" s="1" t="str">
        <x:v>C02 uses actual LTM EBITDA at specified quarter ends; do not annualize a forecast month.</x:v>
      </x:c>
      <x:c r="D52" s="2"/>
      <x:c r="E52" s="2"/>
      <x:c r="F52" s="2"/>
      <x:c r="G52" s="2"/>
      <x:c r="H52" s="2"/>
      <x:c r="I52" s="2"/>
      <x:c r="J52" s="1"/>
    </x:row>
    <x:row r="53" ht="23" customHeight="1">
      <x:c r="A53" s="1"/>
      <x:c r="B53" s="1"/>
      <x:c r="C53" s="1" t="str">
        <x:v>Real business background only: YETI Holdings, Inc. FY2025 Form 10-K, filed 2026-02-27.</x:v>
      </x:c>
      <x:c r="D53" s="2"/>
      <x:c r="E53" s="2"/>
      <x:c r="F53" s="2"/>
      <x:c r="G53" s="2"/>
      <x:c r="H53" s="2"/>
      <x:c r="I53" s="2"/>
      <x:c r="J53" s="1"/>
    </x:row>
    <x:row r="54" ht="23" customHeight="1">
      <x:c r="A54" s="1"/>
      <x:c r="B54" s="1"/>
      <x:c r="C54" s="1" t="str">
        <x:v>https://www.sec.gov/Archives/edgar/data/1670592/000167059226000013/yeti-20260103.htm</x:v>
      </x:c>
      <x:c r="D54" s="2"/>
      <x:c r="E54" s="2"/>
      <x:c r="F54" s="2"/>
      <x:c r="G54" s="2"/>
      <x:c r="H54" s="2"/>
      <x:c r="I54" s="2"/>
      <x:c r="J54" s="1"/>
    </x:row>
    <x:row r="55" ht="23" customHeight="1">
      <x:c r="A55" s="1"/>
      <x:c r="B55" s="1"/>
      <x:c r="C55" s="1" t="str">
        <x:v>The PDF snapshot and reports do not automatically change when these assumptions are edited.</x:v>
      </x:c>
      <x:c r="D55" s="2"/>
      <x:c r="E55" s="2"/>
      <x:c r="F55" s="2"/>
      <x:c r="G55" s="2"/>
      <x:c r="H55" s="2"/>
      <x:c r="I55" s="2"/>
      <x:c r="J55" s="1"/>
    </x:row>
    <x:row r="56" ht="23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1"/>
    </x:row>
    <x:row r="57" ht="23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1"/>
    </x:row>
    <x:row r="58" ht="23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1"/>
    </x:row>
    <x:row r="59" ht="23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1"/>
    </x:row>
    <x:row r="60" ht="23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1"/>
    </x:row>
    <x:row r="61" ht="23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1"/>
    </x:row>
    <x:row r="62" ht="23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1"/>
    </x:row>
    <x:row r="63" ht="23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1"/>
    </x:row>
    <x:row r="64" ht="23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1"/>
    </x:row>
    <x:row r="65" ht="23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1"/>
    </x:row>
    <x:row r="66" ht="23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7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32" customHeight="1">
      <x:c r="A2" s="1"/>
      <x:c r="B2" s="1"/>
      <x:c r="C2" s="3" t="str">
        <x:v>04 YETI Opening Position</x:v>
      </x:c>
      <x:c r="D2" s="1"/>
      <x:c r="E2" s="1"/>
      <x:c r="F2" s="1"/>
      <x:c r="G2" s="1"/>
      <x:c r="H2" s="1"/>
      <x:c r="I2" s="1"/>
      <x:c r="J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3" customHeight="1">
      <x:c r="A4" s="1"/>
      <x:c r="B4" s="1"/>
      <x:c r="C4" s="1" t="str">
        <x:v>Synthetic demo. YETI-04. Available October 1, 2026. USD millions unless stated.</x:v>
      </x:c>
      <x:c r="D4" s="1"/>
      <x:c r="E4" s="1"/>
      <x:c r="F4" s="1"/>
      <x:c r="G4" s="1"/>
      <x:c r="H4" s="1"/>
      <x:c r="I4" s="1"/>
      <x:c r="J4" s="1"/>
    </x:row>
    <x:row r="5" ht="23" customHeight="1">
      <x:c r="A5" s="1"/>
      <x:c r="B5" s="1"/>
      <x:c r="C5" s="1" t="str">
        <x:v>Invented borrower and finances; no real-company affiliation or guarantee is asserted.</x:v>
      </x:c>
      <x:c r="D5" s="1"/>
      <x:c r="E5" s="1"/>
      <x:c r="F5" s="1"/>
      <x:c r="G5" s="1"/>
      <x:c r="H5" s="1"/>
      <x:c r="I5" s="1"/>
      <x:c r="J5" s="1"/>
    </x:row>
    <x:row r="6" ht="23" customHeight="1">
      <x:c r="A6" s="1"/>
      <x:c r="B6" s="1"/>
      <x:c r="C6" s="1" t="str">
        <x:v>Blue inputs. Green links between sheets. Dark formulas. Forecasts exclude later reports.</x:v>
      </x:c>
      <x:c r="D6" s="1"/>
      <x:c r="E6" s="1"/>
      <x:c r="F6" s="1"/>
      <x:c r="G6" s="1"/>
      <x:c r="H6" s="1"/>
      <x:c r="I6" s="1"/>
      <x:c r="J6" s="1"/>
    </x:row>
    <x:row r="7" ht="23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27" customHeight="1">
      <x:c r="A8" s="1"/>
      <x:c r="B8" s="1"/>
      <x:c r="C8" s="8" t="str">
        <x:v>CLOSING CASH AND BALANCE SHEET</x:v>
      </x:c>
      <x:c r="D8" s="9"/>
      <x:c r="E8" s="9"/>
      <x:c r="F8" s="9"/>
      <x:c r="G8" s="9"/>
      <x:c r="H8" s="9"/>
      <x:c r="I8" s="9"/>
      <x:c r="J8" s="1"/>
    </x:row>
    <x:row r="9" ht="23" customHeight="1">
      <x:c r="A9" s="1"/>
      <x:c r="B9" s="1"/>
      <x:c r="C9" s="1" t="str">
        <x:v>Cash before funding</x:v>
      </x:c>
      <x:c r="D9" s="21" t="n">
        <x:f>'Drivers'!D23</x:f>
        <x:v>12</x:v>
      </x:c>
      <x:c r="E9" s="2"/>
      <x:c r="F9" s="2"/>
      <x:c r="G9" s="2"/>
      <x:c r="H9" s="2"/>
      <x:c r="I9" s="2"/>
      <x:c r="J9" s="1"/>
    </x:row>
    <x:row r="10" ht="23" customHeight="1">
      <x:c r="A10" s="1"/>
      <x:c r="B10" s="1"/>
      <x:c r="C10" s="1" t="str">
        <x:v>New debt proceeds</x:v>
      </x:c>
      <x:c r="D10" s="21" t="n">
        <x:f>'Drivers'!D9</x:f>
        <x:v>50</x:v>
      </x:c>
      <x:c r="E10" s="2"/>
      <x:c r="F10" s="2"/>
      <x:c r="G10" s="2"/>
      <x:c r="H10" s="2"/>
      <x:c r="I10" s="2"/>
      <x:c r="J10" s="1"/>
    </x:row>
    <x:row r="11" ht="23" customHeight="1">
      <x:c r="A11" s="1"/>
      <x:c r="B11" s="1"/>
      <x:c r="C11" s="1" t="str">
        <x:v>Old debt repaid</x:v>
      </x:c>
      <x:c r="D11" s="21" t="n">
        <x:f>'Drivers'!D24</x:f>
        <x:v>40</x:v>
      </x:c>
      <x:c r="E11" s="2"/>
      <x:c r="F11" s="2"/>
      <x:c r="G11" s="2"/>
      <x:c r="H11" s="2"/>
      <x:c r="I11" s="2"/>
      <x:c r="J11" s="1"/>
    </x:row>
    <x:row r="12" ht="23" customHeight="1">
      <x:c r="A12" s="1"/>
      <x:c r="B12" s="1"/>
      <x:c r="C12" s="27" t="str">
        <x:v>Closing total bank cash</x:v>
      </x:c>
      <x:c r="D12" s="28" t="n">
        <x:f>D9+D10-D11</x:f>
        <x:v>22</x:v>
      </x:c>
      <x:c r="E12" s="28"/>
      <x:c r="F12" s="28"/>
      <x:c r="G12" s="28"/>
      <x:c r="H12" s="28"/>
      <x:c r="I12" s="28"/>
      <x:c r="J12" s="1"/>
    </x:row>
    <x:row r="13" ht="23" customHeight="1">
      <x:c r="A13" s="1"/>
      <x:c r="B13" s="1"/>
      <x:c r="C13" s="1" t="str">
        <x:v>Restricted reserve</x:v>
      </x:c>
      <x:c r="D13" s="21" t="n">
        <x:f>'Drivers'!D15</x:f>
        <x:v>2</x:v>
      </x:c>
      <x:c r="E13" s="2"/>
      <x:c r="F13" s="2"/>
      <x:c r="G13" s="2"/>
      <x:c r="H13" s="2"/>
      <x:c r="I13" s="2"/>
      <x:c r="J13" s="1"/>
    </x:row>
    <x:row r="14" ht="23" customHeight="1">
      <x:c r="A14" s="1"/>
      <x:c r="B14" s="1"/>
      <x:c r="C14" s="27" t="str">
        <x:v>Unrestricted Cash</x:v>
      </x:c>
      <x:c r="D14" s="28" t="n">
        <x:f>D12-D13</x:f>
        <x:v>20</x:v>
      </x:c>
      <x:c r="E14" s="28"/>
      <x:c r="F14" s="28"/>
      <x:c r="G14" s="28"/>
      <x:c r="H14" s="28"/>
      <x:c r="I14" s="28"/>
      <x:c r="J14" s="1"/>
    </x:row>
    <x:row r="15" ht="23" customHeight="1">
      <x:c r="A15" s="1"/>
      <x:c r="B15" s="1"/>
      <x:c r="C15" s="1"/>
      <x:c r="D15" s="2"/>
      <x:c r="E15" s="2"/>
      <x:c r="F15" s="2"/>
      <x:c r="G15" s="2"/>
      <x:c r="H15" s="2"/>
      <x:c r="I15" s="2"/>
      <x:c r="J15" s="1"/>
    </x:row>
    <x:row r="16" ht="23" customHeight="1">
      <x:c r="A16" s="1"/>
      <x:c r="B16" s="1"/>
      <x:c r="C16" s="1" t="str">
        <x:v>Total bank cash</x:v>
      </x:c>
      <x:c r="D16" s="2" t="n">
        <x:f>D12</x:f>
        <x:v>22</x:v>
      </x:c>
      <x:c r="E16" s="2"/>
      <x:c r="F16" s="2"/>
      <x:c r="G16" s="2"/>
      <x:c r="H16" s="2"/>
      <x:c r="I16" s="2"/>
      <x:c r="J16" s="1"/>
    </x:row>
    <x:row r="17" ht="23" customHeight="1">
      <x:c r="A17" s="1"/>
      <x:c r="B17" s="1"/>
      <x:c r="C17" s="1" t="str">
        <x:v>Receivables</x:v>
      </x:c>
      <x:c r="D17" s="21" t="n">
        <x:f>'Drivers'!D16</x:f>
        <x:v>10</x:v>
      </x:c>
      <x:c r="E17" s="2"/>
      <x:c r="F17" s="2"/>
      <x:c r="G17" s="2"/>
      <x:c r="H17" s="2"/>
      <x:c r="I17" s="2"/>
      <x:c r="J17" s="1"/>
    </x:row>
    <x:row r="18" ht="23" customHeight="1">
      <x:c r="A18" s="1"/>
      <x:c r="B18" s="1"/>
      <x:c r="C18" s="1" t="str">
        <x:v>Inventory at landed cost</x:v>
      </x:c>
      <x:c r="D18" s="21" t="n">
        <x:f>'Drivers'!D17</x:f>
        <x:v>24</x:v>
      </x:c>
      <x:c r="E18" s="2"/>
      <x:c r="F18" s="2"/>
      <x:c r="G18" s="2"/>
      <x:c r="H18" s="2"/>
      <x:c r="I18" s="2"/>
      <x:c r="J18" s="1"/>
    </x:row>
    <x:row r="19" ht="23" customHeight="1">
      <x:c r="A19" s="1"/>
      <x:c r="B19" s="1"/>
      <x:c r="C19" s="1" t="str">
        <x:v>Net fixed assets</x:v>
      </x:c>
      <x:c r="D19" s="21" t="n">
        <x:f>'Drivers'!D18</x:f>
        <x:v>30</x:v>
      </x:c>
      <x:c r="E19" s="2"/>
      <x:c r="F19" s="2"/>
      <x:c r="G19" s="2"/>
      <x:c r="H19" s="2"/>
      <x:c r="I19" s="2"/>
      <x:c r="J19" s="1"/>
    </x:row>
    <x:row r="20" ht="23" customHeight="1">
      <x:c r="A20" s="1"/>
      <x:c r="B20" s="1"/>
      <x:c r="C20" s="27" t="str">
        <x:v>Total assets</x:v>
      </x:c>
      <x:c r="D20" s="28" t="n">
        <x:f>SUM(D16:D19)</x:f>
        <x:v>86</x:v>
      </x:c>
      <x:c r="E20" s="28"/>
      <x:c r="F20" s="28"/>
      <x:c r="G20" s="28"/>
      <x:c r="H20" s="28"/>
      <x:c r="I20" s="28"/>
      <x:c r="J20" s="1"/>
    </x:row>
    <x:row r="21" ht="23" customHeight="1">
      <x:c r="A21" s="1"/>
      <x:c r="B21" s="1"/>
      <x:c r="C21" s="1"/>
      <x:c r="D21" s="2"/>
      <x:c r="E21" s="2"/>
      <x:c r="F21" s="2"/>
      <x:c r="G21" s="2"/>
      <x:c r="H21" s="2"/>
      <x:c r="I21" s="2"/>
      <x:c r="J21" s="1"/>
    </x:row>
    <x:row r="22" ht="23" customHeight="1">
      <x:c r="A22" s="1"/>
      <x:c r="B22" s="1"/>
      <x:c r="C22" s="1" t="str">
        <x:v>Operating payables</x:v>
      </x:c>
      <x:c r="D22" s="21" t="n">
        <x:f>'Drivers'!D19</x:f>
        <x:v>8</x:v>
      </x:c>
      <x:c r="E22" s="2"/>
      <x:c r="F22" s="2"/>
      <x:c r="G22" s="2"/>
      <x:c r="H22" s="2"/>
      <x:c r="I22" s="2"/>
      <x:c r="J22" s="1"/>
    </x:row>
    <x:row r="23" ht="23" customHeight="1">
      <x:c r="A23" s="1"/>
      <x:c r="B23" s="1"/>
      <x:c r="C23" s="1" t="str">
        <x:v>Debt</x:v>
      </x:c>
      <x:c r="D23" s="21" t="n">
        <x:f>'Drivers'!D9</x:f>
        <x:v>50</x:v>
      </x:c>
      <x:c r="E23" s="2"/>
      <x:c r="F23" s="2"/>
      <x:c r="G23" s="2"/>
      <x:c r="H23" s="2"/>
      <x:c r="I23" s="2"/>
      <x:c r="J23" s="1"/>
    </x:row>
    <x:row r="24" ht="23" customHeight="1">
      <x:c r="A24" s="1"/>
      <x:c r="B24" s="1"/>
      <x:c r="C24" s="1" t="str">
        <x:v>Equity</x:v>
      </x:c>
      <x:c r="D24" s="21" t="n">
        <x:f>'Drivers'!D20</x:f>
        <x:v>28</x:v>
      </x:c>
      <x:c r="E24" s="2"/>
      <x:c r="F24" s="2"/>
      <x:c r="G24" s="2"/>
      <x:c r="H24" s="2"/>
      <x:c r="I24" s="2"/>
      <x:c r="J24" s="1"/>
    </x:row>
    <x:row r="25" ht="23" customHeight="1">
      <x:c r="A25" s="1"/>
      <x:c r="B25" s="1"/>
      <x:c r="C25" s="27" t="str">
        <x:v>Liabilities and equity</x:v>
      </x:c>
      <x:c r="D25" s="28" t="n">
        <x:f>SUM(D22:D24)</x:f>
        <x:v>86</x:v>
      </x:c>
      <x:c r="E25" s="28"/>
      <x:c r="F25" s="28"/>
      <x:c r="G25" s="28"/>
      <x:c r="H25" s="28"/>
      <x:c r="I25" s="28"/>
      <x:c r="J25" s="1"/>
    </x:row>
    <x:row r="26" ht="23" customHeight="1">
      <x:c r="A26" s="1"/>
      <x:c r="B26" s="1"/>
      <x:c r="C26" s="27" t="str">
        <x:v>Balance-sheet check (zero)</x:v>
      </x:c>
      <x:c r="D26" s="28" t="n">
        <x:f>ROUND(D20-D25,8)</x:f>
        <x:v>0</x:v>
      </x:c>
      <x:c r="E26" s="28"/>
      <x:c r="F26" s="28"/>
      <x:c r="G26" s="28"/>
      <x:c r="H26" s="28"/>
      <x:c r="I26" s="28"/>
      <x:c r="J26" s="1"/>
    </x:row>
    <x:row r="27" ht="23" customHeight="1">
      <x:c r="A27" s="1"/>
      <x:c r="B27" s="1"/>
      <x:c r="C27" s="1"/>
      <x:c r="D27" s="2"/>
      <x:c r="E27" s="2"/>
      <x:c r="F27" s="2"/>
      <x:c r="G27" s="2"/>
      <x:c r="H27" s="2"/>
      <x:c r="I27" s="2"/>
      <x:c r="J27" s="1"/>
    </x:row>
    <x:row r="28" ht="27" customHeight="1">
      <x:c r="A28" s="1"/>
      <x:c r="B28" s="1"/>
      <x:c r="C28" s="8" t="str">
        <x:v>ACTUAL LTM THROUGH SEPTEMBER 2026</x:v>
      </x:c>
      <x:c r="D28" s="9"/>
      <x:c r="E28" s="9"/>
      <x:c r="F28" s="9"/>
      <x:c r="G28" s="9"/>
      <x:c r="H28" s="9"/>
      <x:c r="I28" s="9"/>
      <x:c r="J28" s="1"/>
    </x:row>
    <x:row r="29" ht="23" customHeight="1">
      <x:c r="A29" s="1"/>
      <x:c r="B29" s="1"/>
      <x:c r="C29" s="1" t="str">
        <x:v>Revenue</x:v>
      </x:c>
      <x:c r="D29" s="11" t="n">
        <x:v>240</x:v>
      </x:c>
      <x:c r="E29" s="2"/>
      <x:c r="F29" s="2"/>
      <x:c r="G29" s="2"/>
      <x:c r="H29" s="2"/>
      <x:c r="I29" s="2"/>
      <x:c r="J29" s="1"/>
    </x:row>
    <x:row r="30" ht="23" customHeight="1">
      <x:c r="A30" s="1"/>
      <x:c r="B30" s="1"/>
      <x:c r="C30" s="1" t="str">
        <x:v>Landed COGS</x:v>
      </x:c>
      <x:c r="D30" s="11" t="n">
        <x:v>144</x:v>
      </x:c>
      <x:c r="E30" s="2"/>
      <x:c r="F30" s="2"/>
      <x:c r="G30" s="2"/>
      <x:c r="H30" s="2"/>
      <x:c r="I30" s="2"/>
      <x:c r="J30" s="1"/>
    </x:row>
    <x:row r="31" ht="23" customHeight="1">
      <x:c r="A31" s="1"/>
      <x:c r="B31" s="1"/>
      <x:c r="C31" s="1" t="str">
        <x:v>Other operating costs</x:v>
      </x:c>
      <x:c r="D31" s="11" t="n">
        <x:v>60</x:v>
      </x:c>
      <x:c r="E31" s="2"/>
      <x:c r="F31" s="2"/>
      <x:c r="G31" s="2"/>
      <x:c r="H31" s="2"/>
      <x:c r="I31" s="2"/>
      <x:c r="J31" s="1"/>
    </x:row>
    <x:row r="32" ht="23" customHeight="1">
      <x:c r="A32" s="1"/>
      <x:c r="B32" s="1"/>
      <x:c r="C32" s="27" t="str">
        <x:v>EBITDA</x:v>
      </x:c>
      <x:c r="D32" s="28" t="n">
        <x:f>D29-D30-D31</x:f>
        <x:v>36</x:v>
      </x:c>
      <x:c r="E32" s="28"/>
      <x:c r="F32" s="28"/>
      <x:c r="G32" s="28"/>
      <x:c r="H32" s="28"/>
      <x:c r="I32" s="28"/>
      <x:c r="J32" s="1"/>
    </x:row>
    <x:row r="33" ht="23" customHeight="1">
      <x:c r="A33" s="1"/>
      <x:c r="B33" s="1"/>
      <x:c r="C33" s="1" t="str">
        <x:v>Depreciation and amortization</x:v>
      </x:c>
      <x:c r="D33" s="11" t="n">
        <x:v>4.8</x:v>
      </x:c>
      <x:c r="E33" s="2"/>
      <x:c r="F33" s="2"/>
      <x:c r="G33" s="2"/>
      <x:c r="H33" s="2"/>
      <x:c r="I33" s="2"/>
      <x:c r="J33" s="1"/>
    </x:row>
    <x:row r="34" ht="23" customHeight="1">
      <x:c r="A34" s="1"/>
      <x:c r="B34" s="1"/>
      <x:c r="C34" s="1" t="str">
        <x:v>Historical interest</x:v>
      </x:c>
      <x:c r="D34" s="11" t="n">
        <x:v>4.5</x:v>
      </x:c>
      <x:c r="E34" s="2"/>
      <x:c r="F34" s="2"/>
      <x:c r="G34" s="2"/>
      <x:c r="H34" s="2"/>
      <x:c r="I34" s="2"/>
      <x:c r="J34" s="1"/>
    </x:row>
    <x:row r="35" ht="23" customHeight="1">
      <x:c r="A35" s="1"/>
      <x:c r="B35" s="1"/>
      <x:c r="C35" s="27" t="str">
        <x:v>Pretax income</x:v>
      </x:c>
      <x:c r="D35" s="28" t="n">
        <x:f>D32-D33-D34</x:f>
        <x:v>26.7</x:v>
      </x:c>
      <x:c r="E35" s="28"/>
      <x:c r="F35" s="28"/>
      <x:c r="G35" s="28"/>
      <x:c r="H35" s="28"/>
      <x:c r="I35" s="28"/>
      <x:c r="J35" s="1"/>
    </x:row>
    <x:row r="36" ht="23" customHeight="1">
      <x:c r="A36" s="1"/>
      <x:c r="B36" s="1"/>
      <x:c r="C36" s="1" t="str">
        <x:v>Income tax</x:v>
      </x:c>
      <x:c r="D36" s="11" t="n">
        <x:v>6.675</x:v>
      </x:c>
      <x:c r="E36" s="2"/>
      <x:c r="F36" s="2"/>
      <x:c r="G36" s="2"/>
      <x:c r="H36" s="2"/>
      <x:c r="I36" s="2"/>
      <x:c r="J36" s="1"/>
    </x:row>
    <x:row r="37" ht="23" customHeight="1">
      <x:c r="A37" s="1"/>
      <x:c r="B37" s="1"/>
      <x:c r="C37" s="27" t="str">
        <x:v>Net income</x:v>
      </x:c>
      <x:c r="D37" s="28" t="n">
        <x:f>D35-D36</x:f>
        <x:v>20.025</x:v>
      </x:c>
      <x:c r="E37" s="28"/>
      <x:c r="F37" s="28"/>
      <x:c r="G37" s="28"/>
      <x:c r="H37" s="28"/>
      <x:c r="I37" s="28"/>
      <x:c r="J37" s="1"/>
    </x:row>
    <x:row r="38" ht="23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1"/>
    </x:row>
    <x:row r="39" ht="27" customHeight="1">
      <x:c r="A39" s="1"/>
      <x:c r="B39" s="1"/>
      <x:c r="C39" s="8" t="str">
        <x:v>REFERENCE VALUES</x:v>
      </x:c>
      <x:c r="D39" s="9"/>
      <x:c r="E39" s="9"/>
      <x:c r="F39" s="9"/>
      <x:c r="G39" s="9"/>
      <x:c r="H39" s="9"/>
      <x:c r="I39" s="9"/>
      <x:c r="J39" s="1"/>
    </x:row>
    <x:row r="40" ht="23" customHeight="1">
      <x:c r="A40" s="1"/>
      <x:c r="B40" s="1"/>
      <x:c r="C40" s="1" t="str">
        <x:v>Illustrative opening Net Leverage</x:v>
      </x:c>
      <x:c r="D40" s="22" t="n">
        <x:f>MAX(0,D23-D14)/D32</x:f>
        <x:v>0.8333333333333334</x:v>
      </x:c>
      <x:c r="E40" s="2"/>
      <x:c r="F40" s="2"/>
      <x:c r="G40" s="2"/>
      <x:c r="H40" s="2"/>
      <x:c r="I40" s="2"/>
      <x:c r="J40" s="1"/>
    </x:row>
    <x:row r="41" ht="23" customHeight="1">
      <x:c r="A41" s="1"/>
      <x:c r="B41" s="1"/>
      <x:c r="C41" s="1" t="str">
        <x:v>January-September actual EBITDA</x:v>
      </x:c>
      <x:c r="D41" s="2" t="n">
        <x:f>D32*0.75</x:f>
        <x:v>27</x:v>
      </x:c>
      <x:c r="E41" s="2"/>
      <x:c r="F41" s="2"/>
      <x:c r="G41" s="2"/>
      <x:c r="H41" s="2"/>
      <x:c r="I41" s="2"/>
      <x:c r="J41" s="1"/>
    </x:row>
    <x:row r="42" ht="23" customHeight="1">
      <x:c r="A42" s="1"/>
      <x:c r="B42" s="1"/>
      <x:c r="C42" s="1" t="str">
        <x:v>Closing cash above C01 floor</x:v>
      </x:c>
      <x:c r="D42" s="21" t="n">
        <x:f>D14-'Drivers'!D11</x:f>
        <x:v>8</x:v>
      </x:c>
      <x:c r="E42" s="2"/>
      <x:c r="F42" s="2"/>
      <x:c r="G42" s="2"/>
      <x:c r="H42" s="2"/>
      <x:c r="I42" s="2"/>
      <x:c r="J42" s="1"/>
    </x:row>
    <x:row r="43" ht="23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1"/>
    </x:row>
    <x:row r="44" ht="23" customHeight="1">
      <x:c r="A44" s="1"/>
      <x:c r="B44" s="1"/>
      <x:c r="C44" s="1" t="str">
        <x:v>The closing leverage illustration is not a contractual quarter-end test.</x:v>
      </x:c>
      <x:c r="D44" s="2"/>
      <x:c r="E44" s="2"/>
      <x:c r="F44" s="2"/>
      <x:c r="G44" s="2"/>
      <x:c r="H44" s="2"/>
      <x:c r="I44" s="2"/>
      <x:c r="J44" s="1"/>
    </x:row>
    <x:row r="45" ht="23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1"/>
    </x:row>
    <x:row r="46" ht="23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1"/>
    </x:row>
    <x:row r="47" ht="23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1"/>
    </x:row>
    <x:row r="48" ht="23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1"/>
    </x:row>
    <x:row r="49" ht="23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1"/>
    </x:row>
    <x:row r="50" ht="23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1"/>
    </x:row>
    <x:row r="51" ht="23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1"/>
    </x:row>
    <x:row r="52" ht="23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1"/>
    </x:row>
    <x:row r="53" ht="23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1"/>
    </x:row>
    <x:row r="54" ht="23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1"/>
    </x:row>
    <x:row r="55" ht="23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1"/>
    </x:row>
    <x:row r="56" ht="23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1"/>
    </x:row>
    <x:row r="57" ht="23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1"/>
    </x:row>
    <x:row r="58" ht="23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1"/>
    </x:row>
    <x:row r="59" ht="23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1"/>
    </x:row>
    <x:row r="60" ht="23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1"/>
    </x:row>
    <x:row r="61" ht="23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1"/>
    </x:row>
    <x:row r="62" ht="23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1"/>
    </x:row>
    <x:row r="63" ht="23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1"/>
    </x:row>
    <x:row r="64" ht="23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1"/>
    </x:row>
    <x:row r="65" ht="23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1"/>
    </x:row>
    <x:row r="66" ht="23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7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32" customHeight="1">
      <x:c r="A2" s="1"/>
      <x:c r="B2" s="1"/>
      <x:c r="C2" s="3" t="str">
        <x:v>04 YETI Operating Forecast</x:v>
      </x:c>
      <x:c r="D2" s="1"/>
      <x:c r="E2" s="1"/>
      <x:c r="F2" s="1"/>
      <x:c r="G2" s="1"/>
      <x:c r="H2" s="1"/>
      <x:c r="I2" s="1"/>
      <x:c r="J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3" customHeight="1">
      <x:c r="A4" s="1"/>
      <x:c r="B4" s="1"/>
      <x:c r="C4" s="1" t="str">
        <x:v>Synthetic demo. YETI-04. Available October 1, 2026. USD millions unless stated.</x:v>
      </x:c>
      <x:c r="D4" s="1"/>
      <x:c r="E4" s="1"/>
      <x:c r="F4" s="1"/>
      <x:c r="G4" s="1"/>
      <x:c r="H4" s="1"/>
      <x:c r="I4" s="1"/>
      <x:c r="J4" s="1"/>
    </x:row>
    <x:row r="5" ht="23" customHeight="1">
      <x:c r="A5" s="1"/>
      <x:c r="B5" s="1"/>
      <x:c r="C5" s="1" t="str">
        <x:v>Invented borrower and finances; no real-company affiliation or guarantee is asserted.</x:v>
      </x:c>
      <x:c r="D5" s="1"/>
      <x:c r="E5" s="1"/>
      <x:c r="F5" s="1"/>
      <x:c r="G5" s="1"/>
      <x:c r="H5" s="1"/>
      <x:c r="I5" s="1"/>
      <x:c r="J5" s="1"/>
    </x:row>
    <x:row r="6" ht="23" customHeight="1">
      <x:c r="A6" s="1"/>
      <x:c r="B6" s="1"/>
      <x:c r="C6" s="1" t="str">
        <x:v>Blue inputs. Green links between sheets. Dark formulas. Forecasts exclude later reports.</x:v>
      </x:c>
      <x:c r="D6" s="1"/>
      <x:c r="E6" s="1"/>
      <x:c r="F6" s="1"/>
      <x:c r="G6" s="1"/>
      <x:c r="H6" s="1"/>
      <x:c r="I6" s="1"/>
      <x:c r="J6" s="1"/>
    </x:row>
    <x:row r="7" ht="23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27" customHeight="1">
      <x:c r="A8" s="1"/>
      <x:c r="B8" s="1"/>
      <x:c r="C8" s="8" t="str">
        <x:v>FORECAST</x:v>
      </x:c>
      <x:c r="D8" s="9"/>
      <x:c r="E8" s="9"/>
      <x:c r="F8" s="9"/>
      <x:c r="G8" s="9"/>
      <x:c r="H8" s="9"/>
      <x:c r="I8" s="9"/>
      <x:c r="J8" s="1"/>
    </x:row>
    <x:row r="9" ht="23" customHeight="1">
      <x:c r="A9" s="1"/>
      <x:c r="B9" s="1"/>
      <x:c r="C9" s="1" t="str">
        <x:v>Month ending</x:v>
      </x:c>
      <x:c r="D9" s="20" t="n">
        <x:f>'Drivers'!D28</x:f>
        <x:v>46326</x:v>
      </x:c>
      <x:c r="E9" s="20" t="n">
        <x:f>'Drivers'!E28</x:f>
        <x:v>46356</x:v>
      </x:c>
      <x:c r="F9" s="20" t="n">
        <x:f>'Drivers'!F28</x:f>
        <x:v>46387</x:v>
      </x:c>
      <x:c r="G9" s="20" t="n">
        <x:f>'Drivers'!G28</x:f>
        <x:v>46418</x:v>
      </x:c>
      <x:c r="H9" s="20" t="n">
        <x:f>'Drivers'!H28</x:f>
        <x:v>46446</x:v>
      </x:c>
      <x:c r="I9" s="20" t="n">
        <x:f>'Drivers'!I28</x:f>
        <x:v>46477</x:v>
      </x:c>
      <x:c r="J9" s="1"/>
    </x:row>
    <x:row r="10" ht="23" customHeight="1">
      <x:c r="A10" s="1"/>
      <x:c r="B10" s="1"/>
      <x:c r="C10" s="1"/>
      <x:c r="D10" s="2"/>
      <x:c r="E10" s="2"/>
      <x:c r="F10" s="2"/>
      <x:c r="G10" s="2"/>
      <x:c r="H10" s="2"/>
      <x:c r="I10" s="2"/>
      <x:c r="J10" s="1"/>
    </x:row>
    <x:row r="11" ht="23" customHeight="1">
      <x:c r="A11" s="1"/>
      <x:c r="B11" s="1"/>
      <x:c r="C11" s="1" t="str">
        <x:v>Net sales</x:v>
      </x:c>
      <x:c r="D11" s="21" t="n">
        <x:f>'Drivers'!D29</x:f>
        <x:v>20</x:v>
      </x:c>
      <x:c r="E11" s="21" t="n">
        <x:f>'Drivers'!E29</x:f>
        <x:v>20</x:v>
      </x:c>
      <x:c r="F11" s="21" t="n">
        <x:f>'Drivers'!F29</x:f>
        <x:v>20</x:v>
      </x:c>
      <x:c r="G11" s="21" t="n">
        <x:f>'Drivers'!G29</x:f>
        <x:v>20</x:v>
      </x:c>
      <x:c r="H11" s="21" t="n">
        <x:f>'Drivers'!H29</x:f>
        <x:v>20</x:v>
      </x:c>
      <x:c r="I11" s="21" t="n">
        <x:f>'Drivers'!I29</x:f>
        <x:v>20</x:v>
      </x:c>
      <x:c r="J11" s="1"/>
    </x:row>
    <x:row r="12" ht="23" customHeight="1">
      <x:c r="A12" s="1"/>
      <x:c r="B12" s="1"/>
      <x:c r="C12" s="1" t="str">
        <x:v>Landed cost of goods sold</x:v>
      </x:c>
      <x:c r="D12" s="21" t="n">
        <x:f>D11*'Drivers'!D30</x:f>
        <x:v>12</x:v>
      </x:c>
      <x:c r="E12" s="21" t="n">
        <x:f>E11*'Drivers'!E30</x:f>
        <x:v>12</x:v>
      </x:c>
      <x:c r="F12" s="21" t="n">
        <x:f>F11*'Drivers'!F30</x:f>
        <x:v>12</x:v>
      </x:c>
      <x:c r="G12" s="21" t="n">
        <x:f>G11*'Drivers'!G30</x:f>
        <x:v>12</x:v>
      </x:c>
      <x:c r="H12" s="21" t="n">
        <x:f>H11*'Drivers'!H30</x:f>
        <x:v>12</x:v>
      </x:c>
      <x:c r="I12" s="21" t="n">
        <x:f>I11*'Drivers'!I30</x:f>
        <x:v>12</x:v>
      </x:c>
      <x:c r="J12" s="1"/>
    </x:row>
    <x:row r="13" ht="23" customHeight="1">
      <x:c r="A13" s="1"/>
      <x:c r="B13" s="1"/>
      <x:c r="C13" s="27" t="str">
        <x:v>Gross profit</x:v>
      </x:c>
      <x:c r="D13" s="28" t="n">
        <x:f>D11-D12</x:f>
        <x:v>8</x:v>
      </x:c>
      <x:c r="E13" s="28" t="n">
        <x:f>E11-E12</x:f>
        <x:v>8</x:v>
      </x:c>
      <x:c r="F13" s="28" t="n">
        <x:f>F11-F12</x:f>
        <x:v>8</x:v>
      </x:c>
      <x:c r="G13" s="28" t="n">
        <x:f>G11-G12</x:f>
        <x:v>8</x:v>
      </x:c>
      <x:c r="H13" s="28" t="n">
        <x:f>H11-H12</x:f>
        <x:v>8</x:v>
      </x:c>
      <x:c r="I13" s="28" t="n">
        <x:f>I11-I12</x:f>
        <x:v>8</x:v>
      </x:c>
      <x:c r="J13" s="1"/>
    </x:row>
    <x:row r="14" ht="23" customHeight="1">
      <x:c r="A14" s="1"/>
      <x:c r="B14" s="1"/>
      <x:c r="C14" s="1" t="str">
        <x:v>Gross margin</x:v>
      </x:c>
      <x:c r="D14" s="12" t="n">
        <x:f>IF(D11=0,"Unassessed",D13/D11)</x:f>
        <x:v>0.4</x:v>
      </x:c>
      <x:c r="E14" s="12" t="n">
        <x:f>IF(E11=0,"Unassessed",E13/E11)</x:f>
        <x:v>0.4</x:v>
      </x:c>
      <x:c r="F14" s="12" t="n">
        <x:f>IF(F11=0,"Unassessed",F13/F11)</x:f>
        <x:v>0.4</x:v>
      </x:c>
      <x:c r="G14" s="12" t="n">
        <x:f>IF(G11=0,"Unassessed",G13/G11)</x:f>
        <x:v>0.4</x:v>
      </x:c>
      <x:c r="H14" s="12" t="n">
        <x:f>IF(H11=0,"Unassessed",H13/H11)</x:f>
        <x:v>0.4</x:v>
      </x:c>
      <x:c r="I14" s="12" t="n">
        <x:f>IF(I11=0,"Unassessed",I13/I11)</x:f>
        <x:v>0.4</x:v>
      </x:c>
      <x:c r="J14" s="1"/>
    </x:row>
    <x:row r="15" ht="23" customHeight="1">
      <x:c r="A15" s="1"/>
      <x:c r="B15" s="1"/>
      <x:c r="C15" s="1"/>
      <x:c r="D15" s="2"/>
      <x:c r="E15" s="2"/>
      <x:c r="F15" s="2"/>
      <x:c r="G15" s="2"/>
      <x:c r="H15" s="2"/>
      <x:c r="I15" s="2"/>
      <x:c r="J15" s="1"/>
    </x:row>
    <x:row r="16" ht="23" customHeight="1">
      <x:c r="A16" s="1"/>
      <x:c r="B16" s="1"/>
      <x:c r="C16" s="1" t="str">
        <x:v>Other operating expense</x:v>
      </x:c>
      <x:c r="D16" s="21" t="n">
        <x:f>'Drivers'!D33</x:f>
        <x:v>5</x:v>
      </x:c>
      <x:c r="E16" s="21" t="n">
        <x:f>'Drivers'!E33</x:f>
        <x:v>5</x:v>
      </x:c>
      <x:c r="F16" s="21" t="n">
        <x:f>'Drivers'!F33</x:f>
        <x:v>5</x:v>
      </x:c>
      <x:c r="G16" s="21" t="n">
        <x:f>'Drivers'!G33</x:f>
        <x:v>5</x:v>
      </x:c>
      <x:c r="H16" s="21" t="n">
        <x:f>'Drivers'!H33</x:f>
        <x:v>5</x:v>
      </x:c>
      <x:c r="I16" s="21" t="n">
        <x:f>'Drivers'!I33</x:f>
        <x:v>5</x:v>
      </x:c>
      <x:c r="J16" s="1"/>
    </x:row>
    <x:row r="17" ht="23" customHeight="1">
      <x:c r="A17" s="1"/>
      <x:c r="B17" s="1"/>
      <x:c r="C17" s="27" t="str">
        <x:v>EBITDA</x:v>
      </x:c>
      <x:c r="D17" s="28" t="n">
        <x:f>D13-D16</x:f>
        <x:v>3</x:v>
      </x:c>
      <x:c r="E17" s="28" t="n">
        <x:f>E13-E16</x:f>
        <x:v>3</x:v>
      </x:c>
      <x:c r="F17" s="28" t="n">
        <x:f>F13-F16</x:f>
        <x:v>3</x:v>
      </x:c>
      <x:c r="G17" s="28" t="n">
        <x:f>G13-G16</x:f>
        <x:v>3</x:v>
      </x:c>
      <x:c r="H17" s="28" t="n">
        <x:f>H13-H16</x:f>
        <x:v>3</x:v>
      </x:c>
      <x:c r="I17" s="28" t="n">
        <x:f>I13-I16</x:f>
        <x:v>3</x:v>
      </x:c>
      <x:c r="J17" s="1"/>
    </x:row>
    <x:row r="18" ht="23" customHeight="1">
      <x:c r="A18" s="1"/>
      <x:c r="B18" s="1"/>
      <x:c r="C18" s="1" t="str">
        <x:v>Depreciation and amortization</x:v>
      </x:c>
      <x:c r="D18" s="21" t="n">
        <x:f>'Drivers'!D34</x:f>
        <x:v>0.4</x:v>
      </x:c>
      <x:c r="E18" s="21" t="n">
        <x:f>'Drivers'!E34</x:f>
        <x:v>0.4</x:v>
      </x:c>
      <x:c r="F18" s="21" t="n">
        <x:f>'Drivers'!F34</x:f>
        <x:v>0.4</x:v>
      </x:c>
      <x:c r="G18" s="21" t="n">
        <x:f>'Drivers'!G34</x:f>
        <x:v>0.4</x:v>
      </x:c>
      <x:c r="H18" s="21" t="n">
        <x:f>'Drivers'!H34</x:f>
        <x:v>0.4</x:v>
      </x:c>
      <x:c r="I18" s="21" t="n">
        <x:f>'Drivers'!I34</x:f>
        <x:v>0.4</x:v>
      </x:c>
      <x:c r="J18" s="1"/>
    </x:row>
    <x:row r="19" ht="23" customHeight="1">
      <x:c r="A19" s="1"/>
      <x:c r="B19" s="1"/>
      <x:c r="C19" s="27" t="str">
        <x:v>EBIT</x:v>
      </x:c>
      <x:c r="D19" s="28" t="n">
        <x:f>D17-D18</x:f>
        <x:v>2.6</x:v>
      </x:c>
      <x:c r="E19" s="28" t="n">
        <x:f>E17-E18</x:f>
        <x:v>2.6</x:v>
      </x:c>
      <x:c r="F19" s="28" t="n">
        <x:f>F17-F18</x:f>
        <x:v>2.6</x:v>
      </x:c>
      <x:c r="G19" s="28" t="n">
        <x:f>G17-G18</x:f>
        <x:v>2.6</x:v>
      </x:c>
      <x:c r="H19" s="28" t="n">
        <x:f>H17-H18</x:f>
        <x:v>2.6</x:v>
      </x:c>
      <x:c r="I19" s="28" t="n">
        <x:f>I17-I18</x:f>
        <x:v>2.6</x:v>
      </x:c>
      <x:c r="J19" s="1"/>
    </x:row>
    <x:row r="20" ht="23" customHeight="1">
      <x:c r="A20" s="1"/>
      <x:c r="B20" s="1"/>
      <x:c r="C20" s="1" t="str">
        <x:v>Interest expense</x:v>
      </x:c>
      <x:c r="D20" s="21" t="n">
        <x:f>'Drivers'!$D$9*'Drivers'!$D$10/12</x:f>
        <x:v>0.375</x:v>
      </x:c>
      <x:c r="E20" s="21" t="n">
        <x:f>'Drivers'!$D$9*'Drivers'!$D$10/12</x:f>
        <x:v>0.375</x:v>
      </x:c>
      <x:c r="F20" s="21" t="n">
        <x:f>'Drivers'!$D$9*'Drivers'!$D$10/12</x:f>
        <x:v>0.375</x:v>
      </x:c>
      <x:c r="G20" s="21" t="n">
        <x:f>'Drivers'!$D$9*'Drivers'!$D$10/12</x:f>
        <x:v>0.375</x:v>
      </x:c>
      <x:c r="H20" s="21" t="n">
        <x:f>'Drivers'!$D$9*'Drivers'!$D$10/12</x:f>
        <x:v>0.375</x:v>
      </x:c>
      <x:c r="I20" s="21" t="n">
        <x:f>'Drivers'!$D$9*'Drivers'!$D$10/12</x:f>
        <x:v>0.375</x:v>
      </x:c>
      <x:c r="J20" s="1"/>
    </x:row>
    <x:row r="21" ht="23" customHeight="1">
      <x:c r="A21" s="1"/>
      <x:c r="B21" s="1"/>
      <x:c r="C21" s="1" t="str">
        <x:v>Pretax income</x:v>
      </x:c>
      <x:c r="D21" s="2" t="n">
        <x:f>D19-D20</x:f>
        <x:v>2.225</x:v>
      </x:c>
      <x:c r="E21" s="2" t="n">
        <x:f>E19-E20</x:f>
        <x:v>2.225</x:v>
      </x:c>
      <x:c r="F21" s="2" t="n">
        <x:f>F19-F20</x:f>
        <x:v>2.225</x:v>
      </x:c>
      <x:c r="G21" s="2" t="n">
        <x:f>G19-G20</x:f>
        <x:v>2.225</x:v>
      </x:c>
      <x:c r="H21" s="2" t="n">
        <x:f>H19-H20</x:f>
        <x:v>2.225</x:v>
      </x:c>
      <x:c r="I21" s="2" t="n">
        <x:f>I19-I20</x:f>
        <x:v>2.225</x:v>
      </x:c>
      <x:c r="J21" s="1"/>
    </x:row>
    <x:row r="22" ht="23" customHeight="1">
      <x:c r="A22" s="1"/>
      <x:c r="B22" s="1"/>
      <x:c r="C22" s="1" t="str">
        <x:v>Income tax expense</x:v>
      </x:c>
      <x:c r="D22" s="21" t="n">
        <x:f>MAX(0,D21)*'Drivers'!D36</x:f>
        <x:v>0.55625</x:v>
      </x:c>
      <x:c r="E22" s="21" t="n">
        <x:f>MAX(0,E21)*'Drivers'!E36</x:f>
        <x:v>0.55625</x:v>
      </x:c>
      <x:c r="F22" s="21" t="n">
        <x:f>MAX(0,F21)*'Drivers'!F36</x:f>
        <x:v>0.55625</x:v>
      </x:c>
      <x:c r="G22" s="21" t="n">
        <x:f>MAX(0,G21)*'Drivers'!G36</x:f>
        <x:v>0.55625</x:v>
      </x:c>
      <x:c r="H22" s="21" t="n">
        <x:f>MAX(0,H21)*'Drivers'!H36</x:f>
        <x:v>0.55625</x:v>
      </x:c>
      <x:c r="I22" s="21" t="n">
        <x:f>MAX(0,I21)*'Drivers'!I36</x:f>
        <x:v>0.55625</x:v>
      </x:c>
      <x:c r="J22" s="1"/>
    </x:row>
    <x:row r="23" ht="23" customHeight="1">
      <x:c r="A23" s="1"/>
      <x:c r="B23" s="1"/>
      <x:c r="C23" s="27" t="str">
        <x:v>Net income</x:v>
      </x:c>
      <x:c r="D23" s="28" t="n">
        <x:f>D21-D22</x:f>
        <x:v>1.6687500000000002</x:v>
      </x:c>
      <x:c r="E23" s="28" t="n">
        <x:f>E21-E22</x:f>
        <x:v>1.6687500000000002</x:v>
      </x:c>
      <x:c r="F23" s="28" t="n">
        <x:f>F21-F22</x:f>
        <x:v>1.6687500000000002</x:v>
      </x:c>
      <x:c r="G23" s="28" t="n">
        <x:f>G21-G22</x:f>
        <x:v>1.6687500000000002</x:v>
      </x:c>
      <x:c r="H23" s="28" t="n">
        <x:f>H21-H22</x:f>
        <x:v>1.6687500000000002</x:v>
      </x:c>
      <x:c r="I23" s="28" t="n">
        <x:f>I21-I22</x:f>
        <x:v>1.6687500000000002</x:v>
      </x:c>
      <x:c r="J23" s="1"/>
    </x:row>
    <x:row r="24" ht="23" customHeight="1">
      <x:c r="A24" s="1"/>
      <x:c r="B24" s="1"/>
      <x:c r="C24" s="1"/>
      <x:c r="D24" s="2"/>
      <x:c r="E24" s="2"/>
      <x:c r="F24" s="2"/>
      <x:c r="G24" s="2"/>
      <x:c r="H24" s="2"/>
      <x:c r="I24" s="2"/>
      <x:c r="J24" s="1"/>
    </x:row>
    <x:row r="25" ht="27" customHeight="1">
      <x:c r="A25" s="1"/>
      <x:c r="B25" s="1"/>
      <x:c r="C25" s="8" t="str">
        <x:v>COLLECTIONS AND PROCUREMENT</x:v>
      </x:c>
      <x:c r="D25" s="9"/>
      <x:c r="E25" s="9"/>
      <x:c r="F25" s="9"/>
      <x:c r="G25" s="9"/>
      <x:c r="H25" s="9"/>
      <x:c r="I25" s="9"/>
      <x:c r="J25" s="1"/>
    </x:row>
    <x:row r="26" ht="23" customHeight="1">
      <x:c r="A26" s="1"/>
      <x:c r="B26" s="1"/>
      <x:c r="C26" s="1" t="str">
        <x:v>Customer cash collections</x:v>
      </x:c>
      <x:c r="D26" s="21" t="n">
        <x:f>'Drivers'!D32</x:f>
        <x:v>20</x:v>
      </x:c>
      <x:c r="E26" s="21" t="n">
        <x:f>'Drivers'!E32</x:f>
        <x:v>20</x:v>
      </x:c>
      <x:c r="F26" s="21" t="n">
        <x:f>'Drivers'!F32</x:f>
        <x:v>20</x:v>
      </x:c>
      <x:c r="G26" s="21" t="n">
        <x:f>'Drivers'!G32</x:f>
        <x:v>20</x:v>
      </x:c>
      <x:c r="H26" s="21" t="n">
        <x:f>'Drivers'!H32</x:f>
        <x:v>20</x:v>
      </x:c>
      <x:c r="I26" s="21" t="n">
        <x:f>'Drivers'!I32</x:f>
        <x:v>20</x:v>
      </x:c>
      <x:c r="J26" s="1"/>
    </x:row>
    <x:row r="27" ht="23" customHeight="1">
      <x:c r="A27" s="1"/>
      <x:c r="B27" s="1"/>
      <x:c r="C27" s="1" t="str">
        <x:v>Inventory purchases received and paid</x:v>
      </x:c>
      <x:c r="D27" s="21" t="n">
        <x:f>'Drivers'!D31</x:f>
        <x:v>12</x:v>
      </x:c>
      <x:c r="E27" s="21" t="n">
        <x:f>'Drivers'!E31</x:f>
        <x:v>12</x:v>
      </x:c>
      <x:c r="F27" s="21" t="n">
        <x:f>'Drivers'!F31</x:f>
        <x:v>12</x:v>
      </x:c>
      <x:c r="G27" s="21" t="n">
        <x:f>'Drivers'!G31</x:f>
        <x:v>12</x:v>
      </x:c>
      <x:c r="H27" s="21" t="n">
        <x:f>'Drivers'!H31</x:f>
        <x:v>12</x:v>
      </x:c>
      <x:c r="I27" s="21" t="n">
        <x:f>'Drivers'!I31</x:f>
        <x:v>12</x:v>
      </x:c>
      <x:c r="J27" s="1"/>
    </x:row>
    <x:row r="28" ht="23" customHeight="1">
      <x:c r="A28" s="1"/>
      <x:c r="B28" s="1"/>
      <x:c r="C28" s="1"/>
      <x:c r="D28" s="2"/>
      <x:c r="E28" s="2"/>
      <x:c r="F28" s="2"/>
      <x:c r="G28" s="2"/>
      <x:c r="H28" s="2"/>
      <x:c r="I28" s="2"/>
      <x:c r="J28" s="1"/>
    </x:row>
    <x:row r="29" ht="23" customHeight="1">
      <x:c r="A29" s="1"/>
      <x:c r="B29" s="1"/>
      <x:c r="C29" s="1" t="str">
        <x:v>Only the original base case is included. Later observations are in reports 06-09.</x:v>
      </x:c>
      <x:c r="D29" s="2"/>
      <x:c r="E29" s="2"/>
      <x:c r="F29" s="2"/>
      <x:c r="G29" s="2"/>
      <x:c r="H29" s="2"/>
      <x:c r="I29" s="2"/>
      <x:c r="J29" s="1"/>
    </x:row>
    <x:row r="30" ht="23" customHeight="1">
      <x:c r="A30" s="1"/>
      <x:c r="B30" s="1"/>
      <x:c r="C30" s="1"/>
      <x:c r="D30" s="2"/>
      <x:c r="E30" s="2"/>
      <x:c r="F30" s="2"/>
      <x:c r="G30" s="2"/>
      <x:c r="H30" s="2"/>
      <x:c r="I30" s="2"/>
      <x:c r="J30" s="1"/>
    </x:row>
    <x:row r="31" ht="23" customHeight="1">
      <x:c r="A31" s="1"/>
      <x:c r="B31" s="1"/>
      <x:c r="C31" s="1"/>
      <x:c r="D31" s="2"/>
      <x:c r="E31" s="2"/>
      <x:c r="F31" s="2"/>
      <x:c r="G31" s="2"/>
      <x:c r="H31" s="2"/>
      <x:c r="I31" s="2"/>
      <x:c r="J31" s="1"/>
    </x:row>
    <x:row r="32" ht="23" customHeight="1">
      <x:c r="A32" s="1"/>
      <x:c r="B32" s="1"/>
      <x:c r="C32" s="1"/>
      <x:c r="D32" s="2"/>
      <x:c r="E32" s="2"/>
      <x:c r="F32" s="2"/>
      <x:c r="G32" s="2"/>
      <x:c r="H32" s="2"/>
      <x:c r="I32" s="2"/>
      <x:c r="J32" s="1"/>
    </x:row>
    <x:row r="33" ht="23" customHeight="1">
      <x:c r="A33" s="1"/>
      <x:c r="B33" s="1"/>
      <x:c r="C33" s="1"/>
      <x:c r="D33" s="2"/>
      <x:c r="E33" s="2"/>
      <x:c r="F33" s="2"/>
      <x:c r="G33" s="2"/>
      <x:c r="H33" s="2"/>
      <x:c r="I33" s="2"/>
      <x:c r="J33" s="1"/>
    </x:row>
    <x:row r="34" ht="23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1"/>
    </x:row>
    <x:row r="35" ht="23" customHeight="1">
      <x:c r="A35" s="1"/>
      <x:c r="B35" s="1"/>
      <x:c r="C35" s="1"/>
      <x:c r="D35" s="2"/>
      <x:c r="E35" s="2"/>
      <x:c r="F35" s="2"/>
      <x:c r="G35" s="2"/>
      <x:c r="H35" s="2"/>
      <x:c r="I35" s="2"/>
      <x:c r="J35" s="1"/>
    </x:row>
    <x:row r="36" ht="23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1"/>
    </x:row>
    <x:row r="37" ht="23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1"/>
    </x:row>
    <x:row r="38" ht="23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1"/>
    </x:row>
    <x:row r="39" ht="23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1"/>
    </x:row>
    <x:row r="40" ht="23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1"/>
    </x:row>
    <x:row r="41" ht="23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1"/>
    </x:row>
    <x:row r="42" ht="23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1"/>
    </x:row>
    <x:row r="43" ht="23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1"/>
    </x:row>
    <x:row r="44" ht="23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1"/>
    </x:row>
    <x:row r="45" ht="23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1"/>
    </x:row>
    <x:row r="46" ht="23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1"/>
    </x:row>
    <x:row r="47" ht="23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1"/>
    </x:row>
    <x:row r="48" ht="23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1"/>
    </x:row>
    <x:row r="49" ht="23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1"/>
    </x:row>
    <x:row r="50" ht="23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1"/>
    </x:row>
    <x:row r="51" ht="23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1"/>
    </x:row>
    <x:row r="52" ht="23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1"/>
    </x:row>
    <x:row r="53" ht="23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1"/>
    </x:row>
    <x:row r="54" ht="23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1"/>
    </x:row>
    <x:row r="55" ht="23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1"/>
    </x:row>
    <x:row r="56" ht="23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1"/>
    </x:row>
    <x:row r="57" ht="23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1"/>
    </x:row>
    <x:row r="58" ht="23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1"/>
    </x:row>
    <x:row r="59" ht="23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1"/>
    </x:row>
    <x:row r="60" ht="23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1"/>
    </x:row>
    <x:row r="61" ht="23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1"/>
    </x:row>
    <x:row r="62" ht="23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1"/>
    </x:row>
    <x:row r="63" ht="23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1"/>
    </x:row>
    <x:row r="64" ht="23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1"/>
    </x:row>
    <x:row r="65" ht="23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1"/>
    </x:row>
    <x:row r="66" ht="23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7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32" customHeight="1">
      <x:c r="A2" s="1"/>
      <x:c r="B2" s="1"/>
      <x:c r="C2" s="3" t="str">
        <x:v>04 YETI Cash and Balance Sheet</x:v>
      </x:c>
      <x:c r="D2" s="1"/>
      <x:c r="E2" s="1"/>
      <x:c r="F2" s="1"/>
      <x:c r="G2" s="1"/>
      <x:c r="H2" s="1"/>
      <x:c r="I2" s="1"/>
      <x:c r="J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3" customHeight="1">
      <x:c r="A4" s="1"/>
      <x:c r="B4" s="1"/>
      <x:c r="C4" s="1" t="str">
        <x:v>Synthetic demo. YETI-04. Available October 1, 2026. USD millions unless stated.</x:v>
      </x:c>
      <x:c r="D4" s="1"/>
      <x:c r="E4" s="1"/>
      <x:c r="F4" s="1"/>
      <x:c r="G4" s="1"/>
      <x:c r="H4" s="1"/>
      <x:c r="I4" s="1"/>
      <x:c r="J4" s="1"/>
    </x:row>
    <x:row r="5" ht="23" customHeight="1">
      <x:c r="A5" s="1"/>
      <x:c r="B5" s="1"/>
      <x:c r="C5" s="1" t="str">
        <x:v>Invented borrower and finances; no real-company affiliation or guarantee is asserted.</x:v>
      </x:c>
      <x:c r="D5" s="1"/>
      <x:c r="E5" s="1"/>
      <x:c r="F5" s="1"/>
      <x:c r="G5" s="1"/>
      <x:c r="H5" s="1"/>
      <x:c r="I5" s="1"/>
      <x:c r="J5" s="1"/>
    </x:row>
    <x:row r="6" ht="23" customHeight="1">
      <x:c r="A6" s="1"/>
      <x:c r="B6" s="1"/>
      <x:c r="C6" s="1" t="str">
        <x:v>Blue inputs. Green links between sheets. Dark formulas. Forecasts exclude later reports.</x:v>
      </x:c>
      <x:c r="D6" s="1"/>
      <x:c r="E6" s="1"/>
      <x:c r="F6" s="1"/>
      <x:c r="G6" s="1"/>
      <x:c r="H6" s="1"/>
      <x:c r="I6" s="1"/>
      <x:c r="J6" s="1"/>
    </x:row>
    <x:row r="7" ht="23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27" customHeight="1">
      <x:c r="A8" s="1"/>
      <x:c r="B8" s="1"/>
      <x:c r="C8" s="8" t="str">
        <x:v>FORECAST</x:v>
      </x:c>
      <x:c r="D8" s="9"/>
      <x:c r="E8" s="9"/>
      <x:c r="F8" s="9"/>
      <x:c r="G8" s="9"/>
      <x:c r="H8" s="9"/>
      <x:c r="I8" s="9"/>
      <x:c r="J8" s="1"/>
    </x:row>
    <x:row r="9" ht="23" customHeight="1">
      <x:c r="A9" s="1"/>
      <x:c r="B9" s="1"/>
      <x:c r="C9" s="1" t="str">
        <x:v>Month ending</x:v>
      </x:c>
      <x:c r="D9" s="20" t="n">
        <x:f>'Drivers'!D28</x:f>
        <x:v>46326</x:v>
      </x:c>
      <x:c r="E9" s="20" t="n">
        <x:f>'Drivers'!E28</x:f>
        <x:v>46356</x:v>
      </x:c>
      <x:c r="F9" s="20" t="n">
        <x:f>'Drivers'!F28</x:f>
        <x:v>46387</x:v>
      </x:c>
      <x:c r="G9" s="20" t="n">
        <x:f>'Drivers'!G28</x:f>
        <x:v>46418</x:v>
      </x:c>
      <x:c r="H9" s="20" t="n">
        <x:f>'Drivers'!H28</x:f>
        <x:v>46446</x:v>
      </x:c>
      <x:c r="I9" s="20" t="n">
        <x:f>'Drivers'!I28</x:f>
        <x:v>46477</x:v>
      </x:c>
      <x:c r="J9" s="1"/>
    </x:row>
    <x:row r="10" ht="23" customHeight="1">
      <x:c r="A10" s="1"/>
      <x:c r="B10" s="1"/>
      <x:c r="C10" s="1"/>
      <x:c r="D10" s="2"/>
      <x:c r="E10" s="2"/>
      <x:c r="F10" s="2"/>
      <x:c r="G10" s="2"/>
      <x:c r="H10" s="2"/>
      <x:c r="I10" s="2"/>
      <x:c r="J10" s="1"/>
    </x:row>
    <x:row r="11" ht="23" customHeight="1">
      <x:c r="A11" s="1"/>
      <x:c r="B11" s="1"/>
      <x:c r="C11" s="1" t="str">
        <x:v>Opening Unrestricted Cash</x:v>
      </x:c>
      <x:c r="D11" s="21" t="n">
        <x:f>'Opening Position'!D14</x:f>
        <x:v>20</x:v>
      </x:c>
      <x:c r="E11" s="2" t="n">
        <x:f>D19</x:f>
        <x:v>21.46875</x:v>
      </x:c>
      <x:c r="F11" s="2" t="n">
        <x:f>E19</x:f>
        <x:v>22.9375</x:v>
      </x:c>
      <x:c r="G11" s="2" t="n">
        <x:f>F19</x:f>
        <x:v>24.40625</x:v>
      </x:c>
      <x:c r="H11" s="2" t="n">
        <x:f>G19</x:f>
        <x:v>25.875</x:v>
      </x:c>
      <x:c r="I11" s="2" t="n">
        <x:f>H19</x:f>
        <x:v>27.34375</x:v>
      </x:c>
      <x:c r="J11" s="1"/>
    </x:row>
    <x:row r="12" ht="23" customHeight="1">
      <x:c r="A12" s="1"/>
      <x:c r="B12" s="1"/>
      <x:c r="C12" s="1" t="str">
        <x:v>Customer cash collections</x:v>
      </x:c>
      <x:c r="D12" s="21" t="n">
        <x:f>'Operating Forecast'!D26</x:f>
        <x:v>20</x:v>
      </x:c>
      <x:c r="E12" s="21" t="n">
        <x:f>'Operating Forecast'!E26</x:f>
        <x:v>20</x:v>
      </x:c>
      <x:c r="F12" s="21" t="n">
        <x:f>'Operating Forecast'!F26</x:f>
        <x:v>20</x:v>
      </x:c>
      <x:c r="G12" s="21" t="n">
        <x:f>'Operating Forecast'!G26</x:f>
        <x:v>20</x:v>
      </x:c>
      <x:c r="H12" s="21" t="n">
        <x:f>'Operating Forecast'!H26</x:f>
        <x:v>20</x:v>
      </x:c>
      <x:c r="I12" s="21" t="n">
        <x:f>'Operating Forecast'!I26</x:f>
        <x:v>20</x:v>
      </x:c>
      <x:c r="J12" s="1"/>
    </x:row>
    <x:row r="13" ht="23" customHeight="1">
      <x:c r="A13" s="1"/>
      <x:c r="B13" s="1"/>
      <x:c r="C13" s="1" t="str">
        <x:v>Inventory purchases paid</x:v>
      </x:c>
      <x:c r="D13" s="21" t="n">
        <x:f>'Operating Forecast'!D27</x:f>
        <x:v>12</x:v>
      </x:c>
      <x:c r="E13" s="21" t="n">
        <x:f>'Operating Forecast'!E27</x:f>
        <x:v>12</x:v>
      </x:c>
      <x:c r="F13" s="21" t="n">
        <x:f>'Operating Forecast'!F27</x:f>
        <x:v>12</x:v>
      </x:c>
      <x:c r="G13" s="21" t="n">
        <x:f>'Operating Forecast'!G27</x:f>
        <x:v>12</x:v>
      </x:c>
      <x:c r="H13" s="21" t="n">
        <x:f>'Operating Forecast'!H27</x:f>
        <x:v>12</x:v>
      </x:c>
      <x:c r="I13" s="21" t="n">
        <x:f>'Operating Forecast'!I27</x:f>
        <x:v>12</x:v>
      </x:c>
      <x:c r="J13" s="1"/>
    </x:row>
    <x:row r="14" ht="23" customHeight="1">
      <x:c r="A14" s="1"/>
      <x:c r="B14" s="1"/>
      <x:c r="C14" s="1" t="str">
        <x:v>Other operating costs paid</x:v>
      </x:c>
      <x:c r="D14" s="21" t="n">
        <x:f>'Operating Forecast'!D16</x:f>
        <x:v>5</x:v>
      </x:c>
      <x:c r="E14" s="21" t="n">
        <x:f>'Operating Forecast'!E16</x:f>
        <x:v>5</x:v>
      </x:c>
      <x:c r="F14" s="21" t="n">
        <x:f>'Operating Forecast'!F16</x:f>
        <x:v>5</x:v>
      </x:c>
      <x:c r="G14" s="21" t="n">
        <x:f>'Operating Forecast'!G16</x:f>
        <x:v>5</x:v>
      </x:c>
      <x:c r="H14" s="21" t="n">
        <x:f>'Operating Forecast'!H16</x:f>
        <x:v>5</x:v>
      </x:c>
      <x:c r="I14" s="21" t="n">
        <x:f>'Operating Forecast'!I16</x:f>
        <x:v>5</x:v>
      </x:c>
      <x:c r="J14" s="1"/>
    </x:row>
    <x:row r="15" ht="23" customHeight="1">
      <x:c r="A15" s="1"/>
      <x:c r="B15" s="1"/>
      <x:c r="C15" s="1" t="str">
        <x:v>Cash interest</x:v>
      </x:c>
      <x:c r="D15" s="21" t="n">
        <x:f>'Operating Forecast'!D20</x:f>
        <x:v>0.375</x:v>
      </x:c>
      <x:c r="E15" s="21" t="n">
        <x:f>'Operating Forecast'!E20</x:f>
        <x:v>0.375</x:v>
      </x:c>
      <x:c r="F15" s="21" t="n">
        <x:f>'Operating Forecast'!F20</x:f>
        <x:v>0.375</x:v>
      </x:c>
      <x:c r="G15" s="21" t="n">
        <x:f>'Operating Forecast'!G20</x:f>
        <x:v>0.375</x:v>
      </x:c>
      <x:c r="H15" s="21" t="n">
        <x:f>'Operating Forecast'!H20</x:f>
        <x:v>0.375</x:v>
      </x:c>
      <x:c r="I15" s="21" t="n">
        <x:f>'Operating Forecast'!I20</x:f>
        <x:v>0.375</x:v>
      </x:c>
      <x:c r="J15" s="1"/>
    </x:row>
    <x:row r="16" ht="23" customHeight="1">
      <x:c r="A16" s="1"/>
      <x:c r="B16" s="1"/>
      <x:c r="C16" s="1" t="str">
        <x:v>Estimated cash-tax installments</x:v>
      </x:c>
      <x:c r="D16" s="21" t="n">
        <x:f>'Drivers'!$D$21</x:f>
        <x:v>0.55625</x:v>
      </x:c>
      <x:c r="E16" s="21" t="n">
        <x:f>'Drivers'!$D$21</x:f>
        <x:v>0.55625</x:v>
      </x:c>
      <x:c r="F16" s="21" t="n">
        <x:f>'Drivers'!$D$21</x:f>
        <x:v>0.55625</x:v>
      </x:c>
      <x:c r="G16" s="21" t="n">
        <x:f>'Drivers'!$D$21</x:f>
        <x:v>0.55625</x:v>
      </x:c>
      <x:c r="H16" s="21" t="n">
        <x:f>'Drivers'!$D$21</x:f>
        <x:v>0.55625</x:v>
      </x:c>
      <x:c r="I16" s="21" t="n">
        <x:f>'Drivers'!$D$21</x:f>
        <x:v>0.55625</x:v>
      </x:c>
      <x:c r="J16" s="1"/>
    </x:row>
    <x:row r="17" ht="23" customHeight="1">
      <x:c r="A17" s="1"/>
      <x:c r="B17" s="1"/>
      <x:c r="C17" s="1" t="str">
        <x:v>Capital expenditure</x:v>
      </x:c>
      <x:c r="D17" s="21" t="n">
        <x:f>'Drivers'!D35</x:f>
        <x:v>0.6</x:v>
      </x:c>
      <x:c r="E17" s="21" t="n">
        <x:f>'Drivers'!E35</x:f>
        <x:v>0.6</x:v>
      </x:c>
      <x:c r="F17" s="21" t="n">
        <x:f>'Drivers'!F35</x:f>
        <x:v>0.6</x:v>
      </x:c>
      <x:c r="G17" s="21" t="n">
        <x:f>'Drivers'!G35</x:f>
        <x:v>0.6</x:v>
      </x:c>
      <x:c r="H17" s="21" t="n">
        <x:f>'Drivers'!H35</x:f>
        <x:v>0.6</x:v>
      </x:c>
      <x:c r="I17" s="21" t="n">
        <x:f>'Drivers'!I35</x:f>
        <x:v>0.6</x:v>
      </x:c>
      <x:c r="J17" s="1"/>
    </x:row>
    <x:row r="18" ht="23" customHeight="1">
      <x:c r="A18" s="1"/>
      <x:c r="B18" s="1"/>
      <x:c r="C18" s="27" t="str">
        <x:v>Net cash movement</x:v>
      </x:c>
      <x:c r="D18" s="28" t="n">
        <x:f>D12-SUM(D13:D17)</x:f>
        <x:v>1.46875</x:v>
      </x:c>
      <x:c r="E18" s="28" t="n">
        <x:f>E12-SUM(E13:E17)</x:f>
        <x:v>1.46875</x:v>
      </x:c>
      <x:c r="F18" s="28" t="n">
        <x:f>F12-SUM(F13:F17)</x:f>
        <x:v>1.46875</x:v>
      </x:c>
      <x:c r="G18" s="28" t="n">
        <x:f>G12-SUM(G13:G17)</x:f>
        <x:v>1.46875</x:v>
      </x:c>
      <x:c r="H18" s="28" t="n">
        <x:f>H12-SUM(H13:H17)</x:f>
        <x:v>1.46875</x:v>
      </x:c>
      <x:c r="I18" s="28" t="n">
        <x:f>I12-SUM(I13:I17)</x:f>
        <x:v>1.46875</x:v>
      </x:c>
      <x:c r="J18" s="1"/>
    </x:row>
    <x:row r="19" ht="23" customHeight="1">
      <x:c r="A19" s="1"/>
      <x:c r="B19" s="1"/>
      <x:c r="C19" s="27" t="str">
        <x:v>Ending Unrestricted Cash</x:v>
      </x:c>
      <x:c r="D19" s="28" t="n">
        <x:f>D11+D18</x:f>
        <x:v>21.46875</x:v>
      </x:c>
      <x:c r="E19" s="28" t="n">
        <x:f>E11+E18</x:f>
        <x:v>22.9375</x:v>
      </x:c>
      <x:c r="F19" s="28" t="n">
        <x:f>F11+F18</x:f>
        <x:v>24.40625</x:v>
      </x:c>
      <x:c r="G19" s="28" t="n">
        <x:f>G11+G18</x:f>
        <x:v>25.875</x:v>
      </x:c>
      <x:c r="H19" s="28" t="n">
        <x:f>H11+H18</x:f>
        <x:v>27.34375</x:v>
      </x:c>
      <x:c r="I19" s="28" t="n">
        <x:f>I11+I18</x:f>
        <x:v>28.8125</x:v>
      </x:c>
      <x:c r="J19" s="1"/>
    </x:row>
    <x:row r="20" ht="23" customHeight="1">
      <x:c r="A20" s="1"/>
      <x:c r="B20" s="1"/>
      <x:c r="C20" s="27" t="str">
        <x:v>Projected headroom over cash floor</x:v>
      </x:c>
      <x:c r="D20" s="31" t="n">
        <x:f>D19-'Drivers'!$D$11</x:f>
        <x:v>9.46875</x:v>
      </x:c>
      <x:c r="E20" s="31" t="n">
        <x:f>E19-'Drivers'!$D$11</x:f>
        <x:v>10.9375</x:v>
      </x:c>
      <x:c r="F20" s="31" t="n">
        <x:f>F19-'Drivers'!$D$11</x:f>
        <x:v>12.40625</x:v>
      </x:c>
      <x:c r="G20" s="31" t="n">
        <x:f>G19-'Drivers'!$D$11</x:f>
        <x:v>13.875</x:v>
      </x:c>
      <x:c r="H20" s="31" t="n">
        <x:f>H19-'Drivers'!$D$11</x:f>
        <x:v>15.34375</x:v>
      </x:c>
      <x:c r="I20" s="31" t="n">
        <x:f>I19-'Drivers'!$D$11</x:f>
        <x:v>16.8125</x:v>
      </x:c>
      <x:c r="J20" s="1"/>
    </x:row>
    <x:row r="21" ht="23" customHeight="1">
      <x:c r="A21" s="1"/>
      <x:c r="B21" s="1"/>
      <x:c r="C21" s="1" t="str">
        <x:v>Cash floor (reference)</x:v>
      </x:c>
      <x:c r="D21" s="21" t="n">
        <x:f>'Drivers'!$D$11</x:f>
        <x:v>12</x:v>
      </x:c>
      <x:c r="E21" s="21" t="n">
        <x:f>'Drivers'!$D$11</x:f>
        <x:v>12</x:v>
      </x:c>
      <x:c r="F21" s="21" t="n">
        <x:f>'Drivers'!$D$11</x:f>
        <x:v>12</x:v>
      </x:c>
      <x:c r="G21" s="21" t="n">
        <x:f>'Drivers'!$D$11</x:f>
        <x:v>12</x:v>
      </x:c>
      <x:c r="H21" s="21" t="n">
        <x:f>'Drivers'!$D$11</x:f>
        <x:v>12</x:v>
      </x:c>
      <x:c r="I21" s="21" t="n">
        <x:f>'Drivers'!$D$11</x:f>
        <x:v>12</x:v>
      </x:c>
      <x:c r="J21" s="1"/>
    </x:row>
    <x:row r="22" ht="23" customHeight="1">
      <x:c r="A22" s="1"/>
      <x:c r="B22" s="1"/>
      <x:c r="C22" s="1" t="str">
        <x:v>Restricted cash (reference)</x:v>
      </x:c>
      <x:c r="D22" s="21" t="n">
        <x:f>'Drivers'!$D$15</x:f>
        <x:v>2</x:v>
      </x:c>
      <x:c r="E22" s="21" t="n">
        <x:f>'Drivers'!$D$15</x:f>
        <x:v>2</x:v>
      </x:c>
      <x:c r="F22" s="21" t="n">
        <x:f>'Drivers'!$D$15</x:f>
        <x:v>2</x:v>
      </x:c>
      <x:c r="G22" s="21" t="n">
        <x:f>'Drivers'!$D$15</x:f>
        <x:v>2</x:v>
      </x:c>
      <x:c r="H22" s="21" t="n">
        <x:f>'Drivers'!$D$15</x:f>
        <x:v>2</x:v>
      </x:c>
      <x:c r="I22" s="21" t="n">
        <x:f>'Drivers'!$D$15</x:f>
        <x:v>2</x:v>
      </x:c>
      <x:c r="J22" s="1"/>
    </x:row>
    <x:row r="23" ht="23" customHeight="1">
      <x:c r="A23" s="1"/>
      <x:c r="B23" s="1"/>
      <x:c r="C23" s="1"/>
      <x:c r="D23" s="2"/>
      <x:c r="E23" s="2"/>
      <x:c r="F23" s="2"/>
      <x:c r="G23" s="2"/>
      <x:c r="H23" s="2"/>
      <x:c r="I23" s="2"/>
      <x:c r="J23" s="1"/>
    </x:row>
    <x:row r="24" ht="27" customHeight="1">
      <x:c r="A24" s="1"/>
      <x:c r="B24" s="1"/>
      <x:c r="C24" s="8" t="str">
        <x:v>BALANCE SHEET</x:v>
      </x:c>
      <x:c r="D24" s="9"/>
      <x:c r="E24" s="9"/>
      <x:c r="F24" s="9"/>
      <x:c r="G24" s="9"/>
      <x:c r="H24" s="9"/>
      <x:c r="I24" s="9"/>
      <x:c r="J24" s="1"/>
    </x:row>
    <x:row r="25" ht="23" customHeight="1">
      <x:c r="A25" s="1"/>
      <x:c r="B25" s="1"/>
      <x:c r="C25" s="1" t="str">
        <x:v>Unrestricted bank cash</x:v>
      </x:c>
      <x:c r="D25" s="2" t="n">
        <x:f>D19</x:f>
        <x:v>21.46875</x:v>
      </x:c>
      <x:c r="E25" s="2" t="n">
        <x:f>E19</x:f>
        <x:v>22.9375</x:v>
      </x:c>
      <x:c r="F25" s="2" t="n">
        <x:f>F19</x:f>
        <x:v>24.40625</x:v>
      </x:c>
      <x:c r="G25" s="2" t="n">
        <x:f>G19</x:f>
        <x:v>25.875</x:v>
      </x:c>
      <x:c r="H25" s="2" t="n">
        <x:f>H19</x:f>
        <x:v>27.34375</x:v>
      </x:c>
      <x:c r="I25" s="2" t="n">
        <x:f>I19</x:f>
        <x:v>28.8125</x:v>
      </x:c>
      <x:c r="J25" s="1"/>
    </x:row>
    <x:row r="26" ht="23" customHeight="1">
      <x:c r="A26" s="1"/>
      <x:c r="B26" s="1"/>
      <x:c r="C26" s="1" t="str">
        <x:v>Restricted reserve</x:v>
      </x:c>
      <x:c r="D26" s="21" t="n">
        <x:f>'Drivers'!$D$15</x:f>
        <x:v>2</x:v>
      </x:c>
      <x:c r="E26" s="21" t="n">
        <x:f>'Drivers'!$D$15</x:f>
        <x:v>2</x:v>
      </x:c>
      <x:c r="F26" s="21" t="n">
        <x:f>'Drivers'!$D$15</x:f>
        <x:v>2</x:v>
      </x:c>
      <x:c r="G26" s="21" t="n">
        <x:f>'Drivers'!$D$15</x:f>
        <x:v>2</x:v>
      </x:c>
      <x:c r="H26" s="21" t="n">
        <x:f>'Drivers'!$D$15</x:f>
        <x:v>2</x:v>
      </x:c>
      <x:c r="I26" s="21" t="n">
        <x:f>'Drivers'!$D$15</x:f>
        <x:v>2</x:v>
      </x:c>
      <x:c r="J26" s="1"/>
    </x:row>
    <x:row r="27" ht="23" customHeight="1">
      <x:c r="A27" s="1"/>
      <x:c r="B27" s="1"/>
      <x:c r="C27" s="1" t="str">
        <x:v>Receivables</x:v>
      </x:c>
      <x:c r="D27" s="21" t="n">
        <x:f>'Drivers'!$D$16+'Operating Forecast'!D11-'Operating Forecast'!D26</x:f>
        <x:v>10</x:v>
      </x:c>
      <x:c r="E27" s="21" t="n">
        <x:f>D27+'Operating Forecast'!E11-'Operating Forecast'!E26</x:f>
        <x:v>10</x:v>
      </x:c>
      <x:c r="F27" s="21" t="n">
        <x:f>E27+'Operating Forecast'!F11-'Operating Forecast'!F26</x:f>
        <x:v>10</x:v>
      </x:c>
      <x:c r="G27" s="21" t="n">
        <x:f>F27+'Operating Forecast'!G11-'Operating Forecast'!G26</x:f>
        <x:v>10</x:v>
      </x:c>
      <x:c r="H27" s="21" t="n">
        <x:f>G27+'Operating Forecast'!H11-'Operating Forecast'!H26</x:f>
        <x:v>10</x:v>
      </x:c>
      <x:c r="I27" s="21" t="n">
        <x:f>H27+'Operating Forecast'!I11-'Operating Forecast'!I26</x:f>
        <x:v>10</x:v>
      </x:c>
      <x:c r="J27" s="1"/>
    </x:row>
    <x:row r="28" ht="23" customHeight="1">
      <x:c r="A28" s="1"/>
      <x:c r="B28" s="1"/>
      <x:c r="C28" s="1" t="str">
        <x:v>Inventory at landed cost</x:v>
      </x:c>
      <x:c r="D28" s="21" t="n">
        <x:f>'Drivers'!$D$17+'Operating Forecast'!D27-'Operating Forecast'!D12</x:f>
        <x:v>24</x:v>
      </x:c>
      <x:c r="E28" s="21" t="n">
        <x:f>D28+'Operating Forecast'!E27-'Operating Forecast'!E12</x:f>
        <x:v>24</x:v>
      </x:c>
      <x:c r="F28" s="21" t="n">
        <x:f>E28+'Operating Forecast'!F27-'Operating Forecast'!F12</x:f>
        <x:v>24</x:v>
      </x:c>
      <x:c r="G28" s="21" t="n">
        <x:f>F28+'Operating Forecast'!G27-'Operating Forecast'!G12</x:f>
        <x:v>24</x:v>
      </x:c>
      <x:c r="H28" s="21" t="n">
        <x:f>G28+'Operating Forecast'!H27-'Operating Forecast'!H12</x:f>
        <x:v>24</x:v>
      </x:c>
      <x:c r="I28" s="21" t="n">
        <x:f>H28+'Operating Forecast'!I27-'Operating Forecast'!I12</x:f>
        <x:v>24</x:v>
      </x:c>
      <x:c r="J28" s="1"/>
    </x:row>
    <x:row r="29" ht="23" customHeight="1">
      <x:c r="A29" s="1"/>
      <x:c r="B29" s="1"/>
      <x:c r="C29" s="1" t="str">
        <x:v>Net fixed assets</x:v>
      </x:c>
      <x:c r="D29" s="21" t="n">
        <x:f>'Drivers'!$D$18+D17-'Operating Forecast'!D18</x:f>
        <x:v>30.200000000000003</x:v>
      </x:c>
      <x:c r="E29" s="21" t="n">
        <x:f>D29+E17-'Operating Forecast'!E18</x:f>
        <x:v>30.400000000000006</x:v>
      </x:c>
      <x:c r="F29" s="21" t="n">
        <x:f>E29+F17-'Operating Forecast'!F18</x:f>
        <x:v>30.60000000000001</x:v>
      </x:c>
      <x:c r="G29" s="21" t="n">
        <x:f>F29+G17-'Operating Forecast'!G18</x:f>
        <x:v>30.80000000000001</x:v>
      </x:c>
      <x:c r="H29" s="21" t="n">
        <x:f>G29+H17-'Operating Forecast'!H18</x:f>
        <x:v>31.000000000000014</x:v>
      </x:c>
      <x:c r="I29" s="21" t="n">
        <x:f>H29+I17-'Operating Forecast'!I18</x:f>
        <x:v>31.200000000000017</x:v>
      </x:c>
      <x:c r="J29" s="1"/>
    </x:row>
    <x:row r="30" ht="23" customHeight="1">
      <x:c r="A30" s="1"/>
      <x:c r="B30" s="1"/>
      <x:c r="C30" s="1" t="str">
        <x:v>Income-tax receivable</x:v>
      </x:c>
      <x:c r="D30" s="2" t="n">
        <x:f>MAX(0,-D49)</x:f>
        <x:v>0</x:v>
      </x:c>
      <x:c r="E30" s="2" t="n">
        <x:f>MAX(0,-E49)</x:f>
        <x:v>0</x:v>
      </x:c>
      <x:c r="F30" s="2" t="n">
        <x:f>MAX(0,-F49)</x:f>
        <x:v>0</x:v>
      </x:c>
      <x:c r="G30" s="2" t="n">
        <x:f>MAX(0,-G49)</x:f>
        <x:v>0</x:v>
      </x:c>
      <x:c r="H30" s="2" t="n">
        <x:f>MAX(0,-H49)</x:f>
        <x:v>0</x:v>
      </x:c>
      <x:c r="I30" s="2" t="n">
        <x:f>MAX(0,-I49)</x:f>
        <x:v>0</x:v>
      </x:c>
      <x:c r="J30" s="1"/>
    </x:row>
    <x:row r="31" ht="23" customHeight="1">
      <x:c r="A31" s="1"/>
      <x:c r="B31" s="1"/>
      <x:c r="C31" s="27" t="str">
        <x:v>Total assets</x:v>
      </x:c>
      <x:c r="D31" s="28" t="n">
        <x:f>SUM(D25:D30)</x:f>
        <x:v>87.66875</x:v>
      </x:c>
      <x:c r="E31" s="28" t="n">
        <x:f>SUM(E25:E30)</x:f>
        <x:v>89.3375</x:v>
      </x:c>
      <x:c r="F31" s="28" t="n">
        <x:f>SUM(F25:F30)</x:f>
        <x:v>91.00625000000001</x:v>
      </x:c>
      <x:c r="G31" s="28" t="n">
        <x:f>SUM(G25:G30)</x:f>
        <x:v>92.67500000000001</x:v>
      </x:c>
      <x:c r="H31" s="28" t="n">
        <x:f>SUM(H25:H30)</x:f>
        <x:v>94.34375000000001</x:v>
      </x:c>
      <x:c r="I31" s="28" t="n">
        <x:f>SUM(I25:I30)</x:f>
        <x:v>96.01250000000002</x:v>
      </x:c>
      <x:c r="J31" s="1"/>
    </x:row>
    <x:row r="32" ht="23" customHeight="1">
      <x:c r="A32" s="1"/>
      <x:c r="B32" s="1"/>
      <x:c r="C32" s="1"/>
      <x:c r="D32" s="2"/>
      <x:c r="E32" s="2"/>
      <x:c r="F32" s="2"/>
      <x:c r="G32" s="2"/>
      <x:c r="H32" s="2"/>
      <x:c r="I32" s="2"/>
      <x:c r="J32" s="1"/>
    </x:row>
    <x:row r="33" ht="23" customHeight="1">
      <x:c r="A33" s="1"/>
      <x:c r="B33" s="1"/>
      <x:c r="C33" s="1" t="str">
        <x:v>Operating payables</x:v>
      </x:c>
      <x:c r="D33" s="21" t="n">
        <x:f>'Drivers'!$D$19</x:f>
        <x:v>8</x:v>
      </x:c>
      <x:c r="E33" s="21" t="n">
        <x:f>'Drivers'!$D$19</x:f>
        <x:v>8</x:v>
      </x:c>
      <x:c r="F33" s="21" t="n">
        <x:f>'Drivers'!$D$19</x:f>
        <x:v>8</x:v>
      </x:c>
      <x:c r="G33" s="21" t="n">
        <x:f>'Drivers'!$D$19</x:f>
        <x:v>8</x:v>
      </x:c>
      <x:c r="H33" s="21" t="n">
        <x:f>'Drivers'!$D$19</x:f>
        <x:v>8</x:v>
      </x:c>
      <x:c r="I33" s="21" t="n">
        <x:f>'Drivers'!$D$19</x:f>
        <x:v>8</x:v>
      </x:c>
      <x:c r="J33" s="1"/>
    </x:row>
    <x:row r="34" ht="23" customHeight="1">
      <x:c r="A34" s="1"/>
      <x:c r="B34" s="1"/>
      <x:c r="C34" s="1" t="str">
        <x:v>Debt principal</x:v>
      </x:c>
      <x:c r="D34" s="21" t="n">
        <x:f>'Drivers'!$D$9</x:f>
        <x:v>50</x:v>
      </x:c>
      <x:c r="E34" s="21" t="n">
        <x:f>'Drivers'!$D$9</x:f>
        <x:v>50</x:v>
      </x:c>
      <x:c r="F34" s="21" t="n">
        <x:f>'Drivers'!$D$9</x:f>
        <x:v>50</x:v>
      </x:c>
      <x:c r="G34" s="21" t="n">
        <x:f>'Drivers'!$D$9</x:f>
        <x:v>50</x:v>
      </x:c>
      <x:c r="H34" s="21" t="n">
        <x:f>'Drivers'!$D$9</x:f>
        <x:v>50</x:v>
      </x:c>
      <x:c r="I34" s="21" t="n">
        <x:f>'Drivers'!$D$9</x:f>
        <x:v>50</x:v>
      </x:c>
      <x:c r="J34" s="1"/>
    </x:row>
    <x:row r="35" ht="23" customHeight="1">
      <x:c r="A35" s="1"/>
      <x:c r="B35" s="1"/>
      <x:c r="C35" s="1" t="str">
        <x:v>Income-tax payable</x:v>
      </x:c>
      <x:c r="D35" s="2" t="n">
        <x:f>MAX(0,D49)</x:f>
        <x:v>0</x:v>
      </x:c>
      <x:c r="E35" s="2" t="n">
        <x:f>MAX(0,E49)</x:f>
        <x:v>0</x:v>
      </x:c>
      <x:c r="F35" s="2" t="n">
        <x:f>MAX(0,F49)</x:f>
        <x:v>0</x:v>
      </x:c>
      <x:c r="G35" s="2" t="n">
        <x:f>MAX(0,G49)</x:f>
        <x:v>0</x:v>
      </x:c>
      <x:c r="H35" s="2" t="n">
        <x:f>MAX(0,H49)</x:f>
        <x:v>0</x:v>
      </x:c>
      <x:c r="I35" s="2" t="n">
        <x:f>MAX(0,I49)</x:f>
        <x:v>0</x:v>
      </x:c>
      <x:c r="J35" s="1"/>
    </x:row>
    <x:row r="36" ht="23" customHeight="1">
      <x:c r="A36" s="1"/>
      <x:c r="B36" s="1"/>
      <x:c r="C36" s="1" t="str">
        <x:v>Equity</x:v>
      </x:c>
      <x:c r="D36" s="21" t="n">
        <x:f>'Drivers'!$D$20+'Operating Forecast'!D23</x:f>
        <x:v>29.66875</x:v>
      </x:c>
      <x:c r="E36" s="21" t="n">
        <x:f>D36+'Operating Forecast'!E23</x:f>
        <x:v>31.3375</x:v>
      </x:c>
      <x:c r="F36" s="21" t="n">
        <x:f>E36+'Operating Forecast'!F23</x:f>
        <x:v>33.00625</x:v>
      </x:c>
      <x:c r="G36" s="21" t="n">
        <x:f>F36+'Operating Forecast'!G23</x:f>
        <x:v>34.675000000000004</x:v>
      </x:c>
      <x:c r="H36" s="21" t="n">
        <x:f>G36+'Operating Forecast'!H23</x:f>
        <x:v>36.34375000000001</x:v>
      </x:c>
      <x:c r="I36" s="21" t="n">
        <x:f>H36+'Operating Forecast'!I23</x:f>
        <x:v>38.01250000000001</x:v>
      </x:c>
      <x:c r="J36" s="1"/>
    </x:row>
    <x:row r="37" ht="23" customHeight="1">
      <x:c r="A37" s="1"/>
      <x:c r="B37" s="1"/>
      <x:c r="C37" s="27" t="str">
        <x:v>Liabilities and equity</x:v>
      </x:c>
      <x:c r="D37" s="28" t="n">
        <x:f>SUM(D33:D36)</x:f>
        <x:v>87.66875</x:v>
      </x:c>
      <x:c r="E37" s="28" t="n">
        <x:f>SUM(E33:E36)</x:f>
        <x:v>89.3375</x:v>
      </x:c>
      <x:c r="F37" s="28" t="n">
        <x:f>SUM(F33:F36)</x:f>
        <x:v>91.00625</x:v>
      </x:c>
      <x:c r="G37" s="28" t="n">
        <x:f>SUM(G33:G36)</x:f>
        <x:v>92.67500000000001</x:v>
      </x:c>
      <x:c r="H37" s="28" t="n">
        <x:f>SUM(H33:H36)</x:f>
        <x:v>94.34375</x:v>
      </x:c>
      <x:c r="I37" s="28" t="n">
        <x:f>SUM(I33:I36)</x:f>
        <x:v>96.01250000000002</x:v>
      </x:c>
      <x:c r="J37" s="1"/>
    </x:row>
    <x:row r="38" ht="23" customHeight="1">
      <x:c r="A38" s="1"/>
      <x:c r="B38" s="1"/>
      <x:c r="C38" s="27" t="str">
        <x:v>Balance-sheet check (zero)</x:v>
      </x:c>
      <x:c r="D38" s="28" t="n">
        <x:f>ROUND(D31-D37,8)</x:f>
        <x:v>0</x:v>
      </x:c>
      <x:c r="E38" s="28" t="n">
        <x:f>ROUND(E31-E37,8)</x:f>
        <x:v>0</x:v>
      </x:c>
      <x:c r="F38" s="28" t="n">
        <x:f>ROUND(F31-F37,8)</x:f>
        <x:v>0</x:v>
      </x:c>
      <x:c r="G38" s="28" t="n">
        <x:f>ROUND(G31-G37,8)</x:f>
        <x:v>0</x:v>
      </x:c>
      <x:c r="H38" s="28" t="n">
        <x:f>ROUND(H31-H37,8)</x:f>
        <x:v>0</x:v>
      </x:c>
      <x:c r="I38" s="28" t="n">
        <x:f>ROUND(I31-I37,8)</x:f>
        <x:v>0</x:v>
      </x:c>
      <x:c r="J38" s="1"/>
    </x:row>
    <x:row r="39" ht="23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1"/>
    </x:row>
    <x:row r="40" ht="27" customHeight="1">
      <x:c r="A40" s="1"/>
      <x:c r="B40" s="1"/>
      <x:c r="C40" s="8" t="str">
        <x:v>INDIRECT CASH FLOW RECONCILIATION</x:v>
      </x:c>
      <x:c r="D40" s="9"/>
      <x:c r="E40" s="9"/>
      <x:c r="F40" s="9"/>
      <x:c r="G40" s="9"/>
      <x:c r="H40" s="9"/>
      <x:c r="I40" s="9"/>
      <x:c r="J40" s="1"/>
    </x:row>
    <x:row r="41" ht="23" customHeight="1">
      <x:c r="A41" s="1"/>
      <x:c r="B41" s="1"/>
      <x:c r="C41" s="1" t="str">
        <x:v>Net income</x:v>
      </x:c>
      <x:c r="D41" s="21" t="n">
        <x:f>'Operating Forecast'!D23</x:f>
        <x:v>1.6687500000000002</x:v>
      </x:c>
      <x:c r="E41" s="21" t="n">
        <x:f>'Operating Forecast'!E23</x:f>
        <x:v>1.6687500000000002</x:v>
      </x:c>
      <x:c r="F41" s="21" t="n">
        <x:f>'Operating Forecast'!F23</x:f>
        <x:v>1.6687500000000002</x:v>
      </x:c>
      <x:c r="G41" s="21" t="n">
        <x:f>'Operating Forecast'!G23</x:f>
        <x:v>1.6687500000000002</x:v>
      </x:c>
      <x:c r="H41" s="21" t="n">
        <x:f>'Operating Forecast'!H23</x:f>
        <x:v>1.6687500000000002</x:v>
      </x:c>
      <x:c r="I41" s="21" t="n">
        <x:f>'Operating Forecast'!I23</x:f>
        <x:v>1.6687500000000002</x:v>
      </x:c>
      <x:c r="J41" s="1"/>
    </x:row>
    <x:row r="42" ht="23" customHeight="1">
      <x:c r="A42" s="1"/>
      <x:c r="B42" s="1"/>
      <x:c r="C42" s="1" t="str">
        <x:v>Depreciation and amortization</x:v>
      </x:c>
      <x:c r="D42" s="21" t="n">
        <x:f>'Operating Forecast'!D18</x:f>
        <x:v>0.4</x:v>
      </x:c>
      <x:c r="E42" s="21" t="n">
        <x:f>'Operating Forecast'!E18</x:f>
        <x:v>0.4</x:v>
      </x:c>
      <x:c r="F42" s="21" t="n">
        <x:f>'Operating Forecast'!F18</x:f>
        <x:v>0.4</x:v>
      </x:c>
      <x:c r="G42" s="21" t="n">
        <x:f>'Operating Forecast'!G18</x:f>
        <x:v>0.4</x:v>
      </x:c>
      <x:c r="H42" s="21" t="n">
        <x:f>'Operating Forecast'!H18</x:f>
        <x:v>0.4</x:v>
      </x:c>
      <x:c r="I42" s="21" t="n">
        <x:f>'Operating Forecast'!I18</x:f>
        <x:v>0.4</x:v>
      </x:c>
      <x:c r="J42" s="1"/>
    </x:row>
    <x:row r="43" ht="23" customHeight="1">
      <x:c r="A43" s="1"/>
      <x:c r="B43" s="1"/>
      <x:c r="C43" s="1" t="str">
        <x:v>Increase in receivables</x:v>
      </x:c>
      <x:c r="D43" s="21" t="n">
        <x:f>ROUND(D27-'Drivers'!$D$16,8)</x:f>
        <x:v>0</x:v>
      </x:c>
      <x:c r="E43" s="2" t="n">
        <x:f>ROUND(E27-D27,8)</x:f>
        <x:v>0</x:v>
      </x:c>
      <x:c r="F43" s="2" t="n">
        <x:f>ROUND(F27-E27,8)</x:f>
        <x:v>0</x:v>
      </x:c>
      <x:c r="G43" s="2" t="n">
        <x:f>ROUND(G27-F27,8)</x:f>
        <x:v>0</x:v>
      </x:c>
      <x:c r="H43" s="2" t="n">
        <x:f>ROUND(H27-G27,8)</x:f>
        <x:v>0</x:v>
      </x:c>
      <x:c r="I43" s="2" t="n">
        <x:f>ROUND(I27-H27,8)</x:f>
        <x:v>0</x:v>
      </x:c>
      <x:c r="J43" s="1"/>
    </x:row>
    <x:row r="44" ht="23" customHeight="1">
      <x:c r="A44" s="1"/>
      <x:c r="B44" s="1"/>
      <x:c r="C44" s="1" t="str">
        <x:v>Increase in inventory</x:v>
      </x:c>
      <x:c r="D44" s="21" t="n">
        <x:f>ROUND(D28-'Drivers'!$D$17,8)</x:f>
        <x:v>0</x:v>
      </x:c>
      <x:c r="E44" s="2" t="n">
        <x:f>ROUND(E28-D28,8)</x:f>
        <x:v>0</x:v>
      </x:c>
      <x:c r="F44" s="2" t="n">
        <x:f>ROUND(F28-E28,8)</x:f>
        <x:v>0</x:v>
      </x:c>
      <x:c r="G44" s="2" t="n">
        <x:f>ROUND(G28-F28,8)</x:f>
        <x:v>0</x:v>
      </x:c>
      <x:c r="H44" s="2" t="n">
        <x:f>ROUND(H28-G28,8)</x:f>
        <x:v>0</x:v>
      </x:c>
      <x:c r="I44" s="2" t="n">
        <x:f>ROUND(I28-H28,8)</x:f>
        <x:v>0</x:v>
      </x:c>
      <x:c r="J44" s="1"/>
    </x:row>
    <x:row r="45" ht="23" customHeight="1">
      <x:c r="A45" s="1"/>
      <x:c r="B45" s="1"/>
      <x:c r="C45" s="1" t="str">
        <x:v>Change in net tax payable</x:v>
      </x:c>
      <x:c r="D45" s="2" t="n">
        <x:f>ROUND(D49-0,8)</x:f>
        <x:v>0</x:v>
      </x:c>
      <x:c r="E45" s="2" t="n">
        <x:f>ROUND(E49-D49,8)</x:f>
        <x:v>0</x:v>
      </x:c>
      <x:c r="F45" s="2" t="n">
        <x:f>ROUND(F49-E49,8)</x:f>
        <x:v>0</x:v>
      </x:c>
      <x:c r="G45" s="2" t="n">
        <x:f>ROUND(G49-F49,8)</x:f>
        <x:v>0</x:v>
      </x:c>
      <x:c r="H45" s="2" t="n">
        <x:f>ROUND(H49-G49,8)</x:f>
        <x:v>0</x:v>
      </x:c>
      <x:c r="I45" s="2" t="n">
        <x:f>ROUND(I49-H49,8)</x:f>
        <x:v>0</x:v>
      </x:c>
      <x:c r="J45" s="1"/>
    </x:row>
    <x:row r="46" ht="23" customHeight="1">
      <x:c r="A46" s="1"/>
      <x:c r="B46" s="1"/>
      <x:c r="C46" s="27" t="str">
        <x:v>Operating cash flow</x:v>
      </x:c>
      <x:c r="D46" s="28" t="n">
        <x:f>SUM(D41:D42)-SUM(D43:D44)+D45</x:f>
        <x:v>2.06875</x:v>
      </x:c>
      <x:c r="E46" s="28" t="n">
        <x:f>SUM(E41:E42)-SUM(E43:E44)+E45</x:f>
        <x:v>2.06875</x:v>
      </x:c>
      <x:c r="F46" s="28" t="n">
        <x:f>SUM(F41:F42)-SUM(F43:F44)+F45</x:f>
        <x:v>2.06875</x:v>
      </x:c>
      <x:c r="G46" s="28" t="n">
        <x:f>SUM(G41:G42)-SUM(G43:G44)+G45</x:f>
        <x:v>2.06875</x:v>
      </x:c>
      <x:c r="H46" s="28" t="n">
        <x:f>SUM(H41:H42)-SUM(H43:H44)+H45</x:f>
        <x:v>2.06875</x:v>
      </x:c>
      <x:c r="I46" s="28" t="n">
        <x:f>SUM(I41:I42)-SUM(I43:I44)+I45</x:f>
        <x:v>2.06875</x:v>
      </x:c>
      <x:c r="J46" s="1"/>
    </x:row>
    <x:row r="47" ht="23" customHeight="1">
      <x:c r="A47" s="1"/>
      <x:c r="B47" s="1"/>
      <x:c r="C47" s="1" t="str">
        <x:v>Capital expenditure</x:v>
      </x:c>
      <x:c r="D47" s="2" t="n">
        <x:f>D17</x:f>
        <x:v>0.6</x:v>
      </x:c>
      <x:c r="E47" s="2" t="n">
        <x:f>E17</x:f>
        <x:v>0.6</x:v>
      </x:c>
      <x:c r="F47" s="2" t="n">
        <x:f>F17</x:f>
        <x:v>0.6</x:v>
      </x:c>
      <x:c r="G47" s="2" t="n">
        <x:f>G17</x:f>
        <x:v>0.6</x:v>
      </x:c>
      <x:c r="H47" s="2" t="n">
        <x:f>H17</x:f>
        <x:v>0.6</x:v>
      </x:c>
      <x:c r="I47" s="2" t="n">
        <x:f>I17</x:f>
        <x:v>0.6</x:v>
      </x:c>
      <x:c r="J47" s="1"/>
    </x:row>
    <x:row r="48" ht="23" customHeight="1">
      <x:c r="A48" s="1"/>
      <x:c r="B48" s="1"/>
      <x:c r="C48" s="27" t="str">
        <x:v>Cash movement check (zero)</x:v>
      </x:c>
      <x:c r="D48" s="28" t="n">
        <x:f>ROUND(D46-D47-D18,8)</x:f>
        <x:v>0</x:v>
      </x:c>
      <x:c r="E48" s="28" t="n">
        <x:f>ROUND(E46-E47-E18,8)</x:f>
        <x:v>0</x:v>
      </x:c>
      <x:c r="F48" s="28" t="n">
        <x:f>ROUND(F46-F47-F18,8)</x:f>
        <x:v>0</x:v>
      </x:c>
      <x:c r="G48" s="28" t="n">
        <x:f>ROUND(G46-G47-G18,8)</x:f>
        <x:v>0</x:v>
      </x:c>
      <x:c r="H48" s="28" t="n">
        <x:f>ROUND(H46-H47-H18,8)</x:f>
        <x:v>0</x:v>
      </x:c>
      <x:c r="I48" s="28" t="n">
        <x:f>ROUND(I46-I47-I18,8)</x:f>
        <x:v>0</x:v>
      </x:c>
      <x:c r="J48" s="1"/>
    </x:row>
    <x:row r="49" ht="23" customHeight="1">
      <x:c r="A49" s="1"/>
      <x:c r="B49" s="1"/>
      <x:c r="C49" s="1" t="str">
        <x:v>Net tax payable / (receivable)</x:v>
      </x:c>
      <x:c r="D49" s="21" t="n">
        <x:f>ROUND(0+'Operating Forecast'!D22-D16,8)</x:f>
        <x:v>0</x:v>
      </x:c>
      <x:c r="E49" s="21" t="n">
        <x:f>ROUND(D49+'Operating Forecast'!E22-E16,8)</x:f>
        <x:v>0</x:v>
      </x:c>
      <x:c r="F49" s="21" t="n">
        <x:f>ROUND(E49+'Operating Forecast'!F22-F16,8)</x:f>
        <x:v>0</x:v>
      </x:c>
      <x:c r="G49" s="21" t="n">
        <x:f>ROUND(F49+'Operating Forecast'!G22-G16,8)</x:f>
        <x:v>0</x:v>
      </x:c>
      <x:c r="H49" s="21" t="n">
        <x:f>ROUND(G49+'Operating Forecast'!H22-H16,8)</x:f>
        <x:v>0</x:v>
      </x:c>
      <x:c r="I49" s="21" t="n">
        <x:f>ROUND(H49+'Operating Forecast'!I22-I16,8)</x:f>
        <x:v>0</x:v>
      </x:c>
      <x:c r="J49" s="1"/>
    </x:row>
    <x:row r="50" ht="23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1"/>
    </x:row>
    <x:row r="51" ht="23" customHeight="1">
      <x:c r="A51" s="1"/>
      <x:c r="B51" s="1"/>
      <x:c r="C51" s="1" t="str">
        <x:v>Cash balances are forecasts. The quarterly leverage covenant needs actual LTM components.</x:v>
      </x:c>
      <x:c r="D51" s="2"/>
      <x:c r="E51" s="2"/>
      <x:c r="F51" s="2"/>
      <x:c r="G51" s="2"/>
      <x:c r="H51" s="2"/>
      <x:c r="I51" s="2"/>
      <x:c r="J51" s="1"/>
    </x:row>
    <x:row r="52" ht="23" customHeight="1">
      <x:c r="A52" s="1"/>
      <x:c r="B52" s="1"/>
      <x:c r="C52" s="1" t="str">
        <x:v>No financing, distributions, impairments or unlisted cash movements are included.</x:v>
      </x:c>
      <x:c r="D52" s="2"/>
      <x:c r="E52" s="2"/>
      <x:c r="F52" s="2"/>
      <x:c r="G52" s="2"/>
      <x:c r="H52" s="2"/>
      <x:c r="I52" s="2"/>
      <x:c r="J52" s="1"/>
    </x:row>
    <x:row r="53" ht="23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1"/>
    </x:row>
    <x:row r="54" ht="23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1"/>
    </x:row>
    <x:row r="55" ht="23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1"/>
    </x:row>
    <x:row r="56" ht="23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1"/>
    </x:row>
    <x:row r="57" ht="23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1"/>
    </x:row>
    <x:row r="58" ht="23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1"/>
    </x:row>
    <x:row r="59" ht="23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1"/>
    </x:row>
    <x:row r="60" ht="23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1"/>
    </x:row>
    <x:row r="61" ht="23" customHeight="1">
      <x:c r="A61" s="1"/>
      <x:c r="B61" s="1"/>
      <x:c r="C61" s="1"/>
      <x:c r="D61" s="2"/>
      <x:c r="E61" s="2"/>
      <x:c r="F61" s="2"/>
      <x:c r="G61" s="2"/>
      <x:c r="H61" s="2"/>
      <x:c r="I61" s="2"/>
      <x:c r="J61" s="1"/>
    </x:row>
    <x:row r="62" ht="23" customHeight="1">
      <x:c r="A62" s="1"/>
      <x:c r="B62" s="1"/>
      <x:c r="C62" s="1"/>
      <x:c r="D62" s="2"/>
      <x:c r="E62" s="2"/>
      <x:c r="F62" s="2"/>
      <x:c r="G62" s="2"/>
      <x:c r="H62" s="2"/>
      <x:c r="I62" s="2"/>
      <x:c r="J62" s="1"/>
    </x:row>
    <x:row r="63" ht="23" customHeight="1">
      <x:c r="A63" s="1"/>
      <x:c r="B63" s="1"/>
      <x:c r="C63" s="1"/>
      <x:c r="D63" s="2"/>
      <x:c r="E63" s="2"/>
      <x:c r="F63" s="2"/>
      <x:c r="G63" s="2"/>
      <x:c r="H63" s="2"/>
      <x:c r="I63" s="2"/>
      <x:c r="J63" s="1"/>
    </x:row>
    <x:row r="64" ht="23" customHeight="1">
      <x:c r="A64" s="1"/>
      <x:c r="B64" s="1"/>
      <x:c r="C64" s="1"/>
      <x:c r="D64" s="2"/>
      <x:c r="E64" s="2"/>
      <x:c r="F64" s="2"/>
      <x:c r="G64" s="2"/>
      <x:c r="H64" s="2"/>
      <x:c r="I64" s="2"/>
      <x:c r="J64" s="1"/>
    </x:row>
    <x:row r="65" ht="23" customHeight="1">
      <x:c r="A65" s="1"/>
      <x:c r="B65" s="1"/>
      <x:c r="C65" s="1"/>
      <x:c r="D65" s="2"/>
      <x:c r="E65" s="2"/>
      <x:c r="F65" s="2"/>
      <x:c r="G65" s="2"/>
      <x:c r="H65" s="2"/>
      <x:c r="I65" s="2"/>
      <x:c r="J65" s="1"/>
    </x:row>
    <x:row r="66" ht="23" customHeight="1">
      <x:c r="A66" s="1"/>
      <x:c r="B66" s="1"/>
      <x:c r="C66" s="1"/>
      <x:c r="D66" s="2"/>
      <x:c r="E66" s="2"/>
      <x:c r="F66" s="2"/>
      <x:c r="G66" s="2"/>
      <x:c r="H66" s="2"/>
      <x:c r="I66" s="2"/>
      <x:c r="J66" s="1"/>
    </x:row>
  </x:sheetData>
  <x:conditionalFormatting sqref="D38:I38">
    <x:cfRule type="expression" dxfId="0" priority="1">
      <x:formula>ABS(D38)&gt;0.000001</x:formula>
    </x:cfRule>
  </x:conditionalFormatting>
  <x:conditionalFormatting sqref="D48:I48">
    <x:cfRule type="expression" dxfId="1" priority="2">
      <x:formula>ABS(D48)&gt;0.000001</x:formula>
    </x:cfRule>
  </x:conditionalFormatting>
  <x:pageMargins left="0.7" right="0.7" top="0.75" bottom="0.75" header="0.3" footer="0.3"/>
</x:worksheet>
</file>